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Balilo\Cowork\Pipeline\Maaden\2026.05.18 PDE Digitalization\Review and Estimate - Copy\"/>
    </mc:Choice>
  </mc:AlternateContent>
  <xr:revisionPtr revIDLastSave="0" documentId="13_ncr:1_{B97AAE0C-3F91-4971-A4A5-4C58627DB09E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Phase 1" sheetId="3" r:id="rId1"/>
    <sheet name="Phase 2" sheetId="4" r:id="rId2"/>
    <sheet name="Phase 3" sheetId="5" r:id="rId3"/>
    <sheet name="Phase 4" sheetId="6" r:id="rId4"/>
    <sheet name="Year 1 Total" sheetId="8" r:id="rId5"/>
    <sheet name="Pricing Table" sheetId="1" r:id="rId6"/>
    <sheet name="Rate for Variation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D11" i="6"/>
  <c r="G7" i="3"/>
  <c r="G10" i="4"/>
  <c r="G9" i="4"/>
  <c r="G8" i="5"/>
  <c r="G7" i="5"/>
  <c r="D12" i="5"/>
  <c r="D11" i="5"/>
  <c r="D12" i="4"/>
  <c r="D11" i="4"/>
  <c r="G6" i="3"/>
  <c r="G9" i="8"/>
  <c r="G8" i="8"/>
  <c r="G7" i="8"/>
  <c r="G6" i="8"/>
  <c r="G5" i="8"/>
  <c r="G4" i="8"/>
  <c r="G10" i="8" s="1" a="1"/>
  <c r="G10" i="8" s="1"/>
  <c r="G10" i="6"/>
  <c r="G9" i="6"/>
  <c r="G6" i="6"/>
  <c r="G5" i="6"/>
  <c r="G4" i="6"/>
  <c r="G10" i="5"/>
  <c r="G9" i="5"/>
  <c r="G6" i="5"/>
  <c r="G5" i="5"/>
  <c r="G4" i="5"/>
  <c r="G8" i="4"/>
  <c r="G7" i="4"/>
  <c r="G6" i="4"/>
  <c r="G5" i="4"/>
  <c r="G4" i="4"/>
  <c r="G10" i="3"/>
  <c r="G9" i="3"/>
  <c r="G8" i="3"/>
  <c r="G5" i="3"/>
  <c r="G4" i="3"/>
  <c r="G11" i="4" l="1" a="1"/>
  <c r="G11" i="4" s="1"/>
  <c r="G12" i="4" s="1"/>
  <c r="G14" i="4" s="1"/>
  <c r="F6" i="1" s="1"/>
  <c r="G11" i="8"/>
  <c r="G11" i="6" a="1"/>
  <c r="G11" i="6" s="1"/>
  <c r="G12" i="6" s="1"/>
  <c r="G14" i="6" s="1"/>
  <c r="F8" i="1" s="1"/>
  <c r="G11" i="5" a="1"/>
  <c r="G11" i="5" s="1"/>
  <c r="G12" i="5" s="1"/>
  <c r="G11" i="3" a="1"/>
  <c r="G11" i="3" s="1"/>
  <c r="G16" i="6" l="1"/>
  <c r="H16" i="6" s="1"/>
  <c r="G17" i="6"/>
  <c r="G15" i="6"/>
  <c r="H15" i="6" s="1"/>
  <c r="H14" i="6"/>
  <c r="G14" i="5"/>
  <c r="F7" i="1" s="1"/>
  <c r="G17" i="4"/>
  <c r="G16" i="4"/>
  <c r="H16" i="4" s="1"/>
  <c r="G15" i="4"/>
  <c r="H15" i="4" s="1"/>
  <c r="H14" i="4"/>
  <c r="G12" i="3"/>
  <c r="G14" i="3" s="1"/>
  <c r="F5" i="1" l="1"/>
  <c r="F9" i="1" s="1"/>
  <c r="G13" i="8"/>
  <c r="G16" i="5"/>
  <c r="H16" i="5" s="1"/>
  <c r="H14" i="5"/>
  <c r="G15" i="5"/>
  <c r="H15" i="5" s="1"/>
  <c r="G17" i="5"/>
  <c r="G17" i="3"/>
  <c r="G16" i="3"/>
  <c r="H16" i="3" s="1"/>
  <c r="G15" i="3"/>
  <c r="H15" i="3" s="1"/>
  <c r="H14" i="3"/>
  <c r="G16" i="8" l="1"/>
  <c r="G15" i="8"/>
  <c r="H15" i="8" s="1"/>
  <c r="G14" i="8"/>
  <c r="H14" i="8" s="1"/>
  <c r="H13" i="8"/>
  <c r="F10" i="1"/>
  <c r="F11" i="1" s="1"/>
  <c r="C15" i="1"/>
  <c r="C18" i="1" l="1"/>
  <c r="C17" i="1"/>
  <c r="C16" i="1"/>
  <c r="C19" i="1" l="1"/>
  <c r="C20" i="1" l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<sst xmlns="http://schemas.openxmlformats.org/spreadsheetml/2006/main" count="296" uniqueCount="129">
  <si>
    <t>Cost Break Down</t>
  </si>
  <si>
    <t>SN</t>
  </si>
  <si>
    <t>Items/ Resources</t>
  </si>
  <si>
    <t>Remarks</t>
  </si>
  <si>
    <t>Count</t>
  </si>
  <si>
    <t>Months</t>
  </si>
  <si>
    <t>YEAR 1 - PHASE-BASED PRICING per SOW 3.3.10 (AI-Native delivery model)</t>
  </si>
  <si>
    <t>Phase 1</t>
  </si>
  <si>
    <t>Weeks 1-4: Requirement Finalization + Setup + Core Configuration. Human team: 2 FTE (PM + Solution Architect). AI agents handle ontology generation, RBAC config, integration scaffolding, doc generation.</t>
  </si>
  <si>
    <t>Phase 2</t>
  </si>
  <si>
    <t>Weeks 5-12: Pilot Module Deployment on selected ARGP area. Human team: 3 FTE (SA + AI Lead + BIM Specialist). AI agents generate 80% of module config, integration code, dashboards, test cases.</t>
  </si>
  <si>
    <t>Phase 3</t>
  </si>
  <si>
    <t>Weeks 13-16: Pilot Validation + KPI Measurement + Training + Feedback. Human team: 2 FTE (SA + Training Lead). AI generates training content, KPI dashboards, feedback synthesis.</t>
  </si>
  <si>
    <t>Phase 4</t>
  </si>
  <si>
    <t>Weeks 17+: Full-Scale Rollout + M4 baseline + M5 dev + 1-mo hyper-care (no charge). Human team: 3 FTE avg ramping down. AI handles deployment automation, monitoring, Tier 1-2 support, change management.</t>
  </si>
  <si>
    <t>Sub-total Year 1 Phase Fees (One-time, AI-Native)</t>
  </si>
  <si>
    <t>YEARS 2-5 RECURRING (5% p.a. escalation; lean run team 2-3 FTE AI-augmented)</t>
  </si>
  <si>
    <t>Year</t>
  </si>
  <si>
    <t>Year 2</t>
  </si>
  <si>
    <t>Year 3</t>
  </si>
  <si>
    <t>Year 4</t>
  </si>
  <si>
    <t>Year 5</t>
  </si>
  <si>
    <t>EXCLUSIONS - Maaden Direct Procurement (NOT in XDH price)</t>
  </si>
  <si>
    <t>AI/LLM API subscriptions</t>
  </si>
  <si>
    <t>Claude+OpenAI+Gemini+embeddings</t>
  </si>
  <si>
    <t>Maaden enterprise agreement</t>
  </si>
  <si>
    <t>EXCLUDED</t>
  </si>
  <si>
    <t>KSA in-Kingdom hosting</t>
  </si>
  <si>
    <t>STC Cloud / MS KSA / AWS Bahrain / NEOM / Mobily</t>
  </si>
  <si>
    <t>Maaden procures direct</t>
  </si>
  <si>
    <t>Compute / GPU infrastructure</t>
  </si>
  <si>
    <t>NVIDIA A100/H100 for CV + Digital Twin</t>
  </si>
  <si>
    <t>Object storage at scale</t>
  </si>
  <si>
    <t>Point clouds + imagery, PB-scale</t>
  </si>
  <si>
    <t>Vector database</t>
  </si>
  <si>
    <t>Pinecone / Weaviate enterprise tier</t>
  </si>
  <si>
    <t>Specialized SaaS</t>
  </si>
  <si>
    <t>Vision APIs / OCR / GIS</t>
  </si>
  <si>
    <t>Multi-affiliate tenants</t>
  </si>
  <si>
    <t>Beyond ARGP primary</t>
  </si>
  <si>
    <t>Variation per affiliate</t>
  </si>
  <si>
    <t>Annual compliance audits</t>
  </si>
  <si>
    <t>ISO 27001 / SOC 2 / pen test / PDPL</t>
  </si>
  <si>
    <t>Third-party software</t>
  </si>
  <si>
    <t>Primavera P6 / Revit / SAP / Aconex / Power BI / Aveva PI</t>
  </si>
  <si>
    <t>Hardware</t>
  </si>
  <si>
    <t>Laptops + IIoT sensors + RFID</t>
  </si>
  <si>
    <t>On site Project team (Additional) </t>
  </si>
  <si>
    <t>SN </t>
  </si>
  <si>
    <t>Items/ Resources </t>
  </si>
  <si>
    <t>Remarks </t>
  </si>
  <si>
    <t>Price </t>
  </si>
  <si>
    <t>1 </t>
  </si>
  <si>
    <t>BIM Manager </t>
  </si>
  <si>
    <t>Full Time (Onsite) </t>
  </si>
  <si>
    <t> 45,760 </t>
  </si>
  <si>
    <t>2 </t>
  </si>
  <si>
    <t>BIM Coordinator </t>
  </si>
  <si>
    <t> 34,320  </t>
  </si>
  <si>
    <t>3 </t>
  </si>
  <si>
    <t>BIM Modeler </t>
  </si>
  <si>
    <t> 26,400 </t>
  </si>
  <si>
    <t>4 </t>
  </si>
  <si>
    <t>Clash Detection Specialist </t>
  </si>
  <si>
    <t> 35,200 </t>
  </si>
  <si>
    <t>Note: Onsite resource rates are not included within the original delivery scope or pricing structure. Any onsite presence requested during the project shall be considered a variation and charged separately in accordance with the above rates. </t>
  </si>
  <si>
    <t>Working Basis: 5 working days per week (~22 days per month), 8 hours per day. </t>
  </si>
  <si>
    <t>Price in AED </t>
  </si>
  <si>
    <t>Off-site Project team (For Variations or Extended Scope Use)</t>
  </si>
  <si>
    <t>Monthly </t>
  </si>
  <si>
    <t>Daily </t>
  </si>
  <si>
    <t>Hourly </t>
  </si>
  <si>
    <t>5 </t>
  </si>
  <si>
    <t>Full Time (Offsite) </t>
  </si>
  <si>
    <t> 42,240 </t>
  </si>
  <si>
    <t> 1,920 </t>
  </si>
  <si>
    <t> 240 </t>
  </si>
  <si>
    <t>6 </t>
  </si>
  <si>
    <t> 31,680 </t>
  </si>
  <si>
    <t> 1,440 </t>
  </si>
  <si>
    <t> 180 </t>
  </si>
  <si>
    <t>7 </t>
  </si>
  <si>
    <t> 24,640 </t>
  </si>
  <si>
    <t> 1,120 </t>
  </si>
  <si>
    <t> 140 </t>
  </si>
  <si>
    <t>8 </t>
  </si>
  <si>
    <t> 33,440 </t>
  </si>
  <si>
    <t> 1,520 </t>
  </si>
  <si>
    <t> 190 </t>
  </si>
  <si>
    <t>Note: The base proposal is structured on offsite delivery. Offsite rates shall be used as the baseline for any variations, additional scope, or extended duration. </t>
  </si>
  <si>
    <t>Working Basis: 5 working days per week (~22 days per month), 8 hours per day.</t>
  </si>
  <si>
    <t>Unit Rate</t>
  </si>
  <si>
    <t>Price</t>
  </si>
  <si>
    <t>Full Time</t>
  </si>
  <si>
    <t>Hardware + Licences</t>
  </si>
  <si>
    <t>5% of resources</t>
  </si>
  <si>
    <t>Margin</t>
  </si>
  <si>
    <t xml:space="preserve"> </t>
  </si>
  <si>
    <t>Total (AED)</t>
  </si>
  <si>
    <t>VAT</t>
  </si>
  <si>
    <t>Total (AED) + VAT</t>
  </si>
  <si>
    <t xml:space="preserve">Total (USD) </t>
  </si>
  <si>
    <t>Poject Manager</t>
  </si>
  <si>
    <t>Solution Architect</t>
  </si>
  <si>
    <t>AI Intergration Lead</t>
  </si>
  <si>
    <t>BIM/AWP Specialist</t>
  </si>
  <si>
    <t>Training Lead</t>
  </si>
  <si>
    <t>Price (AED) Excluding WHT</t>
  </si>
  <si>
    <t>Resources</t>
  </si>
  <si>
    <t>Project Manager
Document Controller
Solution Architect
BIM/AWP Specialist</t>
  </si>
  <si>
    <t>Project Manager
Document Controller
Solution Architect
BIM/AWP Specialist
AI Integration Specialist</t>
  </si>
  <si>
    <t>Project Manager
Document Controller
Solution Architect
BIM/AWP Specialist
Training Lead</t>
  </si>
  <si>
    <t xml:space="preserve">Project Manager
Document Controller
Solution Architect
BIM/AWP Specialist
</t>
  </si>
  <si>
    <t>Description</t>
  </si>
  <si>
    <t>15 %of the Build cost</t>
  </si>
  <si>
    <t>Year 2 x1.05 scalation</t>
  </si>
  <si>
    <t>Year 2 x1.10 scalation</t>
  </si>
  <si>
    <t>Year 2 x1.15 scalation</t>
  </si>
  <si>
    <t>Total Price</t>
  </si>
  <si>
    <t>5% WHT</t>
  </si>
  <si>
    <t>Programme Manager</t>
  </si>
  <si>
    <t xml:space="preserve">AI / ML Engineer </t>
  </si>
  <si>
    <t xml:space="preserve">KSA Security Lead </t>
  </si>
  <si>
    <t>Module Specialist</t>
  </si>
  <si>
    <t>Database Administrator</t>
  </si>
  <si>
    <t>Total</t>
  </si>
  <si>
    <t>2026.06.01
 XDH-AE-Q26-05-00029</t>
  </si>
  <si>
    <t>2026.03.05
XDH-AE-Q26-05-00029</t>
  </si>
  <si>
    <t>Document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</si>
</sst>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1F1F"/>
      <name val="Aptos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</font>
    <font>
      <b/>
      <sz val="10"/>
      <name val="Calibri"/>
    </font>
    <font>
      <b/>
      <sz val="12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43" fontId="0" fillId="0" borderId="1" xfId="1" applyFont="1" applyBorder="1" applyAlignment="1">
      <alignment horizontal="left"/>
    </xf>
    <xf numFmtId="43" fontId="0" fillId="0" borderId="0" xfId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43" fontId="0" fillId="4" borderId="1" xfId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43" fontId="10" fillId="5" borderId="1" xfId="1" applyFont="1" applyFill="1" applyBorder="1" applyAlignment="1">
      <alignment horizontal="left"/>
    </xf>
    <xf numFmtId="0" fontId="11" fillId="5" borderId="0" xfId="0" applyFont="1" applyFill="1"/>
    <xf numFmtId="0" fontId="9" fillId="3" borderId="0" xfId="0" applyFont="1" applyFill="1"/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/>
    <xf numFmtId="43" fontId="1" fillId="2" borderId="2" xfId="1" applyFont="1" applyFill="1" applyBorder="1"/>
    <xf numFmtId="164" fontId="0" fillId="0" borderId="0" xfId="0" applyNumberFormat="1"/>
    <xf numFmtId="43" fontId="1" fillId="0" borderId="0" xfId="1" applyFont="1"/>
    <xf numFmtId="9" fontId="0" fillId="0" borderId="0" xfId="0" applyNumberFormat="1"/>
    <xf numFmtId="0" fontId="10" fillId="5" borderId="11" xfId="0" applyFont="1" applyFill="1" applyBorder="1" applyAlignment="1">
      <alignment horizontal="left"/>
    </xf>
    <xf numFmtId="43" fontId="0" fillId="4" borderId="1" xfId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43" fontId="1" fillId="2" borderId="12" xfId="1" applyFont="1" applyFill="1" applyBorder="1" applyAlignment="1">
      <alignment horizontal="center" vertical="center" wrapText="1"/>
    </xf>
    <xf numFmtId="0" fontId="0" fillId="0" borderId="2" xfId="0" applyBorder="1"/>
    <xf numFmtId="0" fontId="0" fillId="7" borderId="1" xfId="0" applyFill="1" applyBorder="1" applyAlignment="1">
      <alignment wrapText="1"/>
    </xf>
    <xf numFmtId="0" fontId="10" fillId="0" borderId="1" xfId="0" applyFont="1" applyBorder="1"/>
    <xf numFmtId="43" fontId="1" fillId="8" borderId="1" xfId="1" applyFont="1" applyFill="1" applyBorder="1" applyAlignment="1">
      <alignment horizontal="center" vertical="center" wrapText="1"/>
    </xf>
    <xf numFmtId="43" fontId="0" fillId="0" borderId="1" xfId="0" applyNumberFormat="1" applyBorder="1"/>
    <xf numFmtId="43" fontId="11" fillId="5" borderId="0" xfId="0" applyNumberFormat="1" applyFont="1" applyFill="1"/>
    <xf numFmtId="43" fontId="0" fillId="0" borderId="0" xfId="0" applyNumberFormat="1"/>
    <xf numFmtId="0" fontId="10" fillId="6" borderId="1" xfId="0" applyFont="1" applyFill="1" applyBorder="1"/>
    <xf numFmtId="0" fontId="12" fillId="0" borderId="1" xfId="0" applyFont="1" applyBorder="1"/>
    <xf numFmtId="0" fontId="10" fillId="5" borderId="11" xfId="0" applyFont="1" applyFill="1" applyBorder="1"/>
    <xf numFmtId="0" fontId="10" fillId="5" borderId="14" xfId="0" applyFont="1" applyFill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0" fontId="11" fillId="5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0" fillId="0" borderId="13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23410-4CED-4D78-92DA-61B06B114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DBB17-1387-473E-BC80-0729A2E0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FA494-09F6-4D12-AF31-90A2DC2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B471E-E774-46FF-9D38-B5534383D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A4AD1-113F-4CBE-8512-45E72FE9B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120009</xdr:colOff>
      <xdr:row>0</xdr:row>
      <xdr:rowOff>61311</xdr:rowOff>
    </xdr:from>
    <xdr:to>
      <xdr:col>0</xdr:col>
      <xdr:colOff>751145</xdr:colOff>
      <xdr:row>0</xdr:row>
      <xdr:rowOff>628650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0009" y="61311"/>
          <a:ext cx="634311" cy="5673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339B-E48F-4B93-B814-EA1B4C897D05}">
  <dimension ref="A1:O25"/>
  <sheetViews>
    <sheetView zoomScale="130" zoomScaleNormal="130" workbookViewId="0">
      <selection activeCell="B19" sqref="B19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v>33000</v>
      </c>
      <c r="E4" s="1">
        <v>1</v>
      </c>
      <c r="F4" s="1">
        <v>1</v>
      </c>
      <c r="G4" s="4">
        <f>+SUM(D4*E4*F4)</f>
        <v>33000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v>22000</v>
      </c>
      <c r="E5" s="1">
        <v>1</v>
      </c>
      <c r="F5" s="1">
        <v>1</v>
      </c>
      <c r="G5" s="4">
        <f t="shared" ref="G5:G9" si="0">+SUM(D5*E5*F5)</f>
        <v>22000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v>19000</v>
      </c>
      <c r="E6" s="1">
        <v>1</v>
      </c>
      <c r="F6" s="1">
        <v>0.5</v>
      </c>
      <c r="G6" s="4">
        <f t="shared" si="0"/>
        <v>9500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v>19000</v>
      </c>
      <c r="E7" s="1">
        <v>0</v>
      </c>
      <c r="F7" s="1">
        <v>0</v>
      </c>
      <c r="G7" s="4">
        <f t="shared" si="0"/>
        <v>0</v>
      </c>
    </row>
    <row r="8" spans="1:8" x14ac:dyDescent="0.25">
      <c r="A8" s="2">
        <v>5</v>
      </c>
      <c r="B8" s="1" t="s">
        <v>122</v>
      </c>
      <c r="C8" s="1" t="s">
        <v>93</v>
      </c>
      <c r="D8" s="1">
        <v>19000</v>
      </c>
      <c r="E8" s="1">
        <v>1</v>
      </c>
      <c r="F8" s="1">
        <v>1</v>
      </c>
      <c r="G8" s="4">
        <f t="shared" si="0"/>
        <v>19000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v>19000</v>
      </c>
      <c r="E9" s="1">
        <v>1</v>
      </c>
      <c r="F9" s="1">
        <v>1</v>
      </c>
      <c r="G9" s="4">
        <f t="shared" si="0"/>
        <v>19000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v>19000</v>
      </c>
      <c r="E10" s="1">
        <v>1</v>
      </c>
      <c r="F10" s="1">
        <v>1</v>
      </c>
      <c r="G10" s="4">
        <f>+SUM(D10*E10*F10)</f>
        <v>19000</v>
      </c>
    </row>
    <row r="11" spans="1:8" x14ac:dyDescent="0.25">
      <c r="A11" s="2">
        <v>9</v>
      </c>
      <c r="B11" s="1" t="s">
        <v>94</v>
      </c>
      <c r="C11" s="1" t="s">
        <v>95</v>
      </c>
      <c r="D11" s="3">
        <v>0.15</v>
      </c>
      <c r="E11" s="3"/>
      <c r="F11" s="3"/>
      <c r="G11" s="4" cm="1">
        <f t="array" ref="G11">+SUM(G4:G9*D11)</f>
        <v>15375</v>
      </c>
    </row>
    <row r="12" spans="1:8" x14ac:dyDescent="0.25">
      <c r="A12" s="2">
        <v>10</v>
      </c>
      <c r="B12" s="68" t="s">
        <v>96</v>
      </c>
      <c r="C12" s="68"/>
      <c r="D12" s="3">
        <v>0.7</v>
      </c>
      <c r="E12" s="3"/>
      <c r="F12" s="3"/>
      <c r="G12" s="4">
        <f>+SUM(G4:G11)*D12</f>
        <v>95812.5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232687.5</v>
      </c>
      <c r="H14" s="43">
        <f>G14*2</f>
        <v>465375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11634.375</v>
      </c>
      <c r="H15" s="43">
        <f t="shared" ref="H15:H16" si="1">G15*2</f>
        <v>23268.75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244321.875</v>
      </c>
      <c r="H16" s="43">
        <f t="shared" si="1"/>
        <v>488643.75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63750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5AE3-4C25-43B4-A680-EC56530F4E2C}">
  <dimension ref="A1:O25"/>
  <sheetViews>
    <sheetView workbookViewId="0">
      <selection activeCell="B10" sqref="B10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v>33000</v>
      </c>
      <c r="E4" s="1">
        <v>1</v>
      </c>
      <c r="F4" s="1">
        <v>2</v>
      </c>
      <c r="G4" s="4">
        <f>+SUM(D4*E4*F4)</f>
        <v>66000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v>22000</v>
      </c>
      <c r="E5" s="1">
        <v>2</v>
      </c>
      <c r="F5" s="1">
        <v>2</v>
      </c>
      <c r="G5" s="4">
        <f t="shared" ref="G5:G10" si="0">+SUM(D5*E5*F5)</f>
        <v>88000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v>19000</v>
      </c>
      <c r="E6" s="1">
        <v>1</v>
      </c>
      <c r="F6" s="1">
        <v>2</v>
      </c>
      <c r="G6" s="4">
        <f t="shared" si="0"/>
        <v>38000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v>19000</v>
      </c>
      <c r="E7" s="1">
        <v>1</v>
      </c>
      <c r="F7" s="1">
        <v>2</v>
      </c>
      <c r="G7" s="4">
        <f t="shared" si="0"/>
        <v>38000</v>
      </c>
    </row>
    <row r="8" spans="1:8" x14ac:dyDescent="0.25">
      <c r="A8" s="2">
        <v>5</v>
      </c>
      <c r="B8" s="1" t="s">
        <v>122</v>
      </c>
      <c r="C8" s="1" t="s">
        <v>93</v>
      </c>
      <c r="D8" s="1">
        <v>19000</v>
      </c>
      <c r="E8" s="1">
        <v>1</v>
      </c>
      <c r="F8" s="1">
        <v>1</v>
      </c>
      <c r="G8" s="4">
        <f t="shared" si="0"/>
        <v>19000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v>19000</v>
      </c>
      <c r="E9" s="1">
        <v>1</v>
      </c>
      <c r="F9" s="1">
        <v>2</v>
      </c>
      <c r="G9" s="4">
        <f t="shared" si="0"/>
        <v>38000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v>19000</v>
      </c>
      <c r="E10" s="1">
        <v>1</v>
      </c>
      <c r="F10" s="1">
        <v>2</v>
      </c>
      <c r="G10" s="4">
        <f t="shared" si="0"/>
        <v>38000</v>
      </c>
    </row>
    <row r="11" spans="1:8" x14ac:dyDescent="0.25">
      <c r="A11" s="2">
        <v>9</v>
      </c>
      <c r="B11" s="1" t="s">
        <v>94</v>
      </c>
      <c r="C11" s="1" t="s">
        <v>95</v>
      </c>
      <c r="D11" s="3">
        <f>'Phase 1'!D11</f>
        <v>0.15</v>
      </c>
      <c r="E11" s="1"/>
      <c r="F11" s="1"/>
      <c r="G11" s="4" cm="1">
        <f t="array" ref="G11">+SUM(G4:G9*D11)</f>
        <v>43050</v>
      </c>
    </row>
    <row r="12" spans="1:8" x14ac:dyDescent="0.25">
      <c r="A12" s="2">
        <v>10</v>
      </c>
      <c r="B12" s="68" t="s">
        <v>96</v>
      </c>
      <c r="C12" s="68"/>
      <c r="D12" s="3">
        <f>'Phase 1'!D12</f>
        <v>0.7</v>
      </c>
      <c r="E12" s="3"/>
      <c r="F12" s="3"/>
      <c r="G12" s="4">
        <f>+SUM(G4:G11)*D12</f>
        <v>257634.99999999997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625685</v>
      </c>
      <c r="H14" s="43">
        <f>G14*2</f>
        <v>1251370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31284.25</v>
      </c>
      <c r="H15" s="43">
        <f t="shared" ref="H15:H16" si="1">G15*2</f>
        <v>62568.5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656969.25</v>
      </c>
      <c r="H16" s="43">
        <f t="shared" si="1"/>
        <v>1313938.5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171420.54794520547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38A5-5017-40F0-A9B3-7FB1E0C9B76A}">
  <dimension ref="A1:O25"/>
  <sheetViews>
    <sheetView workbookViewId="0">
      <selection activeCell="B10" sqref="B10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v>33000</v>
      </c>
      <c r="E4" s="1">
        <v>1</v>
      </c>
      <c r="F4" s="1">
        <v>1</v>
      </c>
      <c r="G4" s="4">
        <f>+SUM(D4*E4*F4)</f>
        <v>33000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v>22000</v>
      </c>
      <c r="E5" s="1">
        <v>1</v>
      </c>
      <c r="F5" s="1">
        <v>1</v>
      </c>
      <c r="G5" s="4">
        <f t="shared" ref="G5:G9" si="0">+SUM(D5*E5*F5)</f>
        <v>22000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v>19000</v>
      </c>
      <c r="E6" s="1">
        <v>1</v>
      </c>
      <c r="F6" s="1">
        <v>1</v>
      </c>
      <c r="G6" s="4">
        <f t="shared" si="0"/>
        <v>19000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v>19000</v>
      </c>
      <c r="E7" s="1">
        <v>1</v>
      </c>
      <c r="F7" s="1">
        <v>1</v>
      </c>
      <c r="G7" s="4">
        <f t="shared" si="0"/>
        <v>19000</v>
      </c>
    </row>
    <row r="8" spans="1:8" x14ac:dyDescent="0.25">
      <c r="A8" s="2">
        <v>5</v>
      </c>
      <c r="B8" s="1" t="s">
        <v>122</v>
      </c>
      <c r="C8" s="1" t="s">
        <v>93</v>
      </c>
      <c r="D8" s="1">
        <v>19000</v>
      </c>
      <c r="E8" s="1">
        <v>1</v>
      </c>
      <c r="F8" s="1">
        <v>0.5</v>
      </c>
      <c r="G8" s="4">
        <f t="shared" si="0"/>
        <v>9500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v>19000</v>
      </c>
      <c r="E9" s="1">
        <v>1</v>
      </c>
      <c r="F9" s="1">
        <v>1</v>
      </c>
      <c r="G9" s="4">
        <f t="shared" si="0"/>
        <v>19000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v>19000</v>
      </c>
      <c r="E10" s="1">
        <v>1</v>
      </c>
      <c r="F10" s="1">
        <v>1</v>
      </c>
      <c r="G10" s="4">
        <f>+SUM(D10*E10*F10)</f>
        <v>19000</v>
      </c>
    </row>
    <row r="11" spans="1:8" x14ac:dyDescent="0.25">
      <c r="A11" s="2">
        <v>9</v>
      </c>
      <c r="B11" s="1" t="s">
        <v>94</v>
      </c>
      <c r="C11" s="1" t="s">
        <v>95</v>
      </c>
      <c r="D11" s="3">
        <f>'Phase 1'!D11</f>
        <v>0.15</v>
      </c>
      <c r="E11" s="3"/>
      <c r="F11" s="3"/>
      <c r="G11" s="4" cm="1">
        <f t="array" ref="G11">+SUM(G4:G9*D11)</f>
        <v>18225</v>
      </c>
    </row>
    <row r="12" spans="1:8" x14ac:dyDescent="0.25">
      <c r="A12" s="2">
        <v>10</v>
      </c>
      <c r="B12" s="68" t="s">
        <v>96</v>
      </c>
      <c r="C12" s="68"/>
      <c r="D12" s="3">
        <f>'Phase 1'!D12</f>
        <v>0.7</v>
      </c>
      <c r="E12" s="3"/>
      <c r="F12" s="3"/>
      <c r="G12" s="4">
        <f>+SUM(G4:G11)*D12</f>
        <v>111107.5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269832.5</v>
      </c>
      <c r="H14" s="43">
        <f>G14*2</f>
        <v>539665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13491.625</v>
      </c>
      <c r="H15" s="43">
        <f t="shared" ref="H15:H16" si="1">G15*2</f>
        <v>26983.25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283324.125</v>
      </c>
      <c r="H16" s="43">
        <f t="shared" si="1"/>
        <v>566648.25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73926.712328767127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971F-4ACB-4D85-91EC-BC82EA1B576F}">
  <dimension ref="A1:O25"/>
  <sheetViews>
    <sheetView workbookViewId="0">
      <selection activeCell="C24" sqref="C24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v>33000</v>
      </c>
      <c r="E4" s="1">
        <v>1</v>
      </c>
      <c r="F4" s="1">
        <v>8</v>
      </c>
      <c r="G4" s="4">
        <f>+SUM(D4*E4*F4)</f>
        <v>264000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v>22000</v>
      </c>
      <c r="E5" s="1">
        <v>1</v>
      </c>
      <c r="F5" s="1">
        <v>8</v>
      </c>
      <c r="G5" s="4">
        <f t="shared" ref="G5:G9" si="0">+SUM(D5*E5*F5)</f>
        <v>176000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v>19000</v>
      </c>
      <c r="E6" s="1">
        <v>1</v>
      </c>
      <c r="F6" s="1">
        <v>8</v>
      </c>
      <c r="G6" s="4">
        <f t="shared" si="0"/>
        <v>152000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v>19000</v>
      </c>
      <c r="E7" s="1">
        <v>1</v>
      </c>
      <c r="F7" s="1">
        <v>8</v>
      </c>
      <c r="G7" s="4"/>
    </row>
    <row r="8" spans="1:8" x14ac:dyDescent="0.25">
      <c r="A8" s="2">
        <v>5</v>
      </c>
      <c r="B8" s="1" t="s">
        <v>122</v>
      </c>
      <c r="C8" s="1" t="s">
        <v>93</v>
      </c>
      <c r="D8" s="1">
        <v>19000</v>
      </c>
      <c r="E8" s="1">
        <v>1</v>
      </c>
      <c r="F8" s="1">
        <v>8</v>
      </c>
      <c r="G8" s="4"/>
    </row>
    <row r="9" spans="1:8" x14ac:dyDescent="0.25">
      <c r="A9" s="2">
        <v>7</v>
      </c>
      <c r="B9" s="1" t="s">
        <v>123</v>
      </c>
      <c r="C9" s="1" t="s">
        <v>93</v>
      </c>
      <c r="D9" s="1">
        <v>19000</v>
      </c>
      <c r="E9" s="1">
        <v>1</v>
      </c>
      <c r="F9" s="1">
        <v>8</v>
      </c>
      <c r="G9" s="4">
        <f t="shared" si="0"/>
        <v>152000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v>19000</v>
      </c>
      <c r="E10" s="1">
        <v>1</v>
      </c>
      <c r="F10" s="1">
        <v>8</v>
      </c>
      <c r="G10" s="4">
        <f>+SUM(D10*E10*F10)</f>
        <v>152000</v>
      </c>
    </row>
    <row r="11" spans="1:8" x14ac:dyDescent="0.25">
      <c r="A11" s="2">
        <v>9</v>
      </c>
      <c r="B11" s="1" t="s">
        <v>94</v>
      </c>
      <c r="C11" s="1" t="s">
        <v>95</v>
      </c>
      <c r="D11" s="3">
        <f>'Phase 1'!D11</f>
        <v>0.15</v>
      </c>
      <c r="E11" s="3"/>
      <c r="F11" s="3"/>
      <c r="G11" s="4" cm="1">
        <f t="array" ref="G11">+SUM(G4:G9*D11)</f>
        <v>111600</v>
      </c>
    </row>
    <row r="12" spans="1:8" x14ac:dyDescent="0.25">
      <c r="A12" s="2">
        <v>10</v>
      </c>
      <c r="B12" s="68" t="s">
        <v>96</v>
      </c>
      <c r="C12" s="68"/>
      <c r="D12" s="3">
        <f>'Phase 1'!D12</f>
        <v>0.7</v>
      </c>
      <c r="E12" s="3"/>
      <c r="F12" s="3"/>
      <c r="G12" s="4">
        <f>+SUM(G4:G11)*D12</f>
        <v>705320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1712920</v>
      </c>
      <c r="H14" s="43">
        <f>G14*2</f>
        <v>3425840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85646</v>
      </c>
      <c r="H15" s="43">
        <f t="shared" ref="H15:H16" si="1">G15*2</f>
        <v>171292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1798566</v>
      </c>
      <c r="H16" s="43">
        <f t="shared" si="1"/>
        <v>3597132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469293.15068493149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A9E3-54EF-4E90-8C6C-D27B99C81AC9}">
  <dimension ref="A1:O24"/>
  <sheetViews>
    <sheetView workbookViewId="0">
      <selection activeCell="C27" sqref="C27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10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10" x14ac:dyDescent="0.25">
      <c r="A2" s="67" t="s">
        <v>0</v>
      </c>
      <c r="B2" s="67"/>
      <c r="C2" s="67"/>
      <c r="D2" s="67"/>
      <c r="E2" s="67"/>
      <c r="F2" s="67"/>
      <c r="G2" s="67"/>
    </row>
    <row r="3" spans="1:10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10" x14ac:dyDescent="0.25">
      <c r="A4" s="2">
        <v>1</v>
      </c>
      <c r="B4" s="1" t="s">
        <v>102</v>
      </c>
      <c r="C4" s="1" t="s">
        <v>93</v>
      </c>
      <c r="D4" s="1">
        <v>33000</v>
      </c>
      <c r="E4" s="1"/>
      <c r="F4" s="1"/>
      <c r="G4" s="4">
        <f>+SUM(D4*E4*F4)</f>
        <v>0</v>
      </c>
    </row>
    <row r="5" spans="1:10" x14ac:dyDescent="0.25">
      <c r="A5" s="2">
        <v>2</v>
      </c>
      <c r="B5" s="1" t="s">
        <v>103</v>
      </c>
      <c r="C5" s="1" t="s">
        <v>93</v>
      </c>
      <c r="D5" s="1">
        <v>22000</v>
      </c>
      <c r="E5" s="1"/>
      <c r="F5" s="1"/>
      <c r="G5" s="4">
        <f t="shared" ref="G5:G8" si="0">+SUM(D5*E5*F5)</f>
        <v>0</v>
      </c>
    </row>
    <row r="6" spans="1:10" x14ac:dyDescent="0.25">
      <c r="A6" s="2">
        <v>3</v>
      </c>
      <c r="B6" s="1" t="s">
        <v>104</v>
      </c>
      <c r="C6" s="1" t="s">
        <v>93</v>
      </c>
      <c r="D6" s="1">
        <v>19000</v>
      </c>
      <c r="E6" s="1"/>
      <c r="F6" s="1"/>
      <c r="G6" s="4">
        <f t="shared" si="0"/>
        <v>0</v>
      </c>
    </row>
    <row r="7" spans="1:10" x14ac:dyDescent="0.25">
      <c r="A7" s="2">
        <v>4</v>
      </c>
      <c r="B7" s="1" t="s">
        <v>105</v>
      </c>
      <c r="C7" s="1" t="s">
        <v>93</v>
      </c>
      <c r="D7" s="1">
        <v>19000</v>
      </c>
      <c r="E7" s="1"/>
      <c r="F7" s="1"/>
      <c r="G7" s="4">
        <f t="shared" si="0"/>
        <v>0</v>
      </c>
    </row>
    <row r="8" spans="1:10" x14ac:dyDescent="0.25">
      <c r="A8" s="2">
        <v>5</v>
      </c>
      <c r="B8" s="1" t="s">
        <v>106</v>
      </c>
      <c r="C8" s="1" t="s">
        <v>93</v>
      </c>
      <c r="D8" s="1">
        <v>22000</v>
      </c>
      <c r="E8" s="1"/>
      <c r="F8" s="1"/>
      <c r="G8" s="4">
        <f t="shared" si="0"/>
        <v>0</v>
      </c>
    </row>
    <row r="9" spans="1:10" x14ac:dyDescent="0.25">
      <c r="A9" s="2">
        <v>6</v>
      </c>
      <c r="B9" s="1" t="s">
        <v>128</v>
      </c>
      <c r="C9" s="1" t="s">
        <v>93</v>
      </c>
      <c r="D9" s="1">
        <v>19000</v>
      </c>
      <c r="E9" s="1"/>
      <c r="F9" s="1"/>
      <c r="G9" s="4">
        <f>+SUM(D9*E9*F9)</f>
        <v>0</v>
      </c>
    </row>
    <row r="10" spans="1:10" x14ac:dyDescent="0.25">
      <c r="A10" s="2">
        <v>8</v>
      </c>
      <c r="B10" s="1" t="s">
        <v>94</v>
      </c>
      <c r="C10" s="1" t="s">
        <v>95</v>
      </c>
      <c r="D10" s="3">
        <v>0.05</v>
      </c>
      <c r="E10" s="3"/>
      <c r="F10" s="3"/>
      <c r="G10" s="4" cm="1">
        <f t="array" ref="G10">+SUM(G4:G8*D10)</f>
        <v>0</v>
      </c>
    </row>
    <row r="11" spans="1:10" x14ac:dyDescent="0.25">
      <c r="A11" s="2">
        <v>9</v>
      </c>
      <c r="B11" s="68" t="s">
        <v>96</v>
      </c>
      <c r="C11" s="68"/>
      <c r="D11" s="3">
        <v>1</v>
      </c>
      <c r="E11" s="3"/>
      <c r="F11" s="3"/>
      <c r="G11" s="4">
        <f>+SUM(G4:G10)*D11</f>
        <v>0</v>
      </c>
    </row>
    <row r="12" spans="1:10" x14ac:dyDescent="0.25">
      <c r="A12" s="2">
        <v>10</v>
      </c>
      <c r="B12" s="2"/>
      <c r="C12" s="2"/>
      <c r="D12" s="1" t="s">
        <v>97</v>
      </c>
      <c r="E12" s="1"/>
      <c r="F12" s="1"/>
      <c r="G12" s="4" t="s">
        <v>97</v>
      </c>
    </row>
    <row r="13" spans="1:10" x14ac:dyDescent="0.25">
      <c r="A13" s="2">
        <v>11</v>
      </c>
      <c r="B13" s="68" t="s">
        <v>98</v>
      </c>
      <c r="C13" s="68"/>
      <c r="D13" s="68"/>
      <c r="E13" s="2"/>
      <c r="F13" s="2"/>
      <c r="G13" s="4">
        <f>'Phase 1'!G14+'Phase 2'!G14+'Phase 3'!G14+'Phase 4'!G14</f>
        <v>2841125</v>
      </c>
      <c r="H13" s="43">
        <f>G13*2</f>
        <v>5682250</v>
      </c>
    </row>
    <row r="14" spans="1:10" x14ac:dyDescent="0.25">
      <c r="A14" s="2"/>
      <c r="B14" s="2" t="s">
        <v>99</v>
      </c>
      <c r="C14" s="2"/>
      <c r="D14" s="2"/>
      <c r="E14" s="2"/>
      <c r="F14" s="2"/>
      <c r="G14" s="4">
        <f>G13*0.05</f>
        <v>142056.25</v>
      </c>
      <c r="H14" s="43">
        <f t="shared" ref="H14:H15" si="1">G14*2</f>
        <v>284112.5</v>
      </c>
    </row>
    <row r="15" spans="1:10" x14ac:dyDescent="0.25">
      <c r="A15" s="2">
        <v>12</v>
      </c>
      <c r="B15" s="68" t="s">
        <v>100</v>
      </c>
      <c r="C15" s="68"/>
      <c r="D15" s="68"/>
      <c r="E15" s="2"/>
      <c r="F15" s="2"/>
      <c r="G15" s="4">
        <f>+SUM(G13)* 1.05</f>
        <v>2983181.25</v>
      </c>
      <c r="H15" s="43">
        <f t="shared" si="1"/>
        <v>5966362.5</v>
      </c>
    </row>
    <row r="16" spans="1:10" x14ac:dyDescent="0.25">
      <c r="A16" s="2">
        <v>13</v>
      </c>
      <c r="B16" s="68" t="s">
        <v>101</v>
      </c>
      <c r="C16" s="68"/>
      <c r="D16" s="68"/>
      <c r="E16" s="2"/>
      <c r="F16" s="2"/>
      <c r="G16" s="4">
        <f>+SUM(G13)/3.65</f>
        <v>778390.41095890407</v>
      </c>
      <c r="J16" s="43"/>
    </row>
    <row r="18" spans="2:15" x14ac:dyDescent="0.25">
      <c r="B18" s="40"/>
    </row>
    <row r="19" spans="2:15" x14ac:dyDescent="0.25">
      <c r="G19" s="44"/>
    </row>
    <row r="20" spans="2:15" x14ac:dyDescent="0.25">
      <c r="D20" s="45"/>
      <c r="E20" s="45"/>
    </row>
    <row r="21" spans="2:15" x14ac:dyDescent="0.25">
      <c r="D21" s="45"/>
      <c r="E21" s="45"/>
    </row>
    <row r="22" spans="2:15" x14ac:dyDescent="0.25">
      <c r="D22" s="45"/>
      <c r="E22" s="45"/>
      <c r="H22" s="45"/>
      <c r="O22" s="45"/>
    </row>
    <row r="23" spans="2:15" x14ac:dyDescent="0.25">
      <c r="D23" s="45"/>
      <c r="E23" s="45"/>
      <c r="H23" s="45"/>
      <c r="O23" s="45"/>
    </row>
    <row r="24" spans="2:15" x14ac:dyDescent="0.25">
      <c r="D24" s="45"/>
      <c r="E24" s="45"/>
      <c r="H24" s="45"/>
    </row>
  </sheetData>
  <mergeCells count="6">
    <mergeCell ref="B16:D16"/>
    <mergeCell ref="B1:G1"/>
    <mergeCell ref="A2:G2"/>
    <mergeCell ref="B11:C11"/>
    <mergeCell ref="B13:D13"/>
    <mergeCell ref="B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3" zoomScaleNormal="100" workbookViewId="0">
      <selection activeCell="G17" sqref="G17"/>
    </sheetView>
  </sheetViews>
  <sheetFormatPr defaultColWidth="8.85546875" defaultRowHeight="15" x14ac:dyDescent="0.25"/>
  <cols>
    <col min="1" max="1" width="13.28515625" customWidth="1"/>
    <col min="2" max="2" width="40.28515625" customWidth="1"/>
    <col min="3" max="3" width="55.7109375" customWidth="1"/>
    <col min="4" max="4" width="18.28515625" customWidth="1"/>
    <col min="5" max="5" width="13.28515625" customWidth="1"/>
    <col min="6" max="6" width="15.85546875" style="5" customWidth="1"/>
    <col min="7" max="7" width="29.85546875" customWidth="1"/>
    <col min="8" max="9" width="10.140625" bestFit="1" customWidth="1"/>
    <col min="10" max="10" width="21.140625" customWidth="1"/>
    <col min="11" max="11" width="8.85546875" customWidth="1"/>
  </cols>
  <sheetData>
    <row r="1" spans="1:7" ht="54" customHeight="1" x14ac:dyDescent="0.25">
      <c r="A1" s="50"/>
      <c r="B1" s="65" t="s">
        <v>126</v>
      </c>
      <c r="C1" s="66"/>
      <c r="D1" s="66"/>
      <c r="E1" s="66"/>
      <c r="F1" s="66"/>
    </row>
    <row r="2" spans="1:7" x14ac:dyDescent="0.25">
      <c r="A2" s="67" t="s">
        <v>0</v>
      </c>
      <c r="B2" s="67"/>
      <c r="C2" s="67"/>
      <c r="D2" s="67"/>
      <c r="E2" s="67"/>
      <c r="F2" s="67"/>
      <c r="G2" s="67"/>
    </row>
    <row r="3" spans="1:7" s="8" customFormat="1" ht="30" customHeight="1" x14ac:dyDescent="0.25">
      <c r="A3" s="48" t="s">
        <v>1</v>
      </c>
      <c r="B3" s="48" t="s">
        <v>2</v>
      </c>
      <c r="C3" s="48" t="s">
        <v>3</v>
      </c>
      <c r="D3" s="48" t="s">
        <v>4</v>
      </c>
      <c r="E3" s="48" t="s">
        <v>5</v>
      </c>
      <c r="F3" s="49" t="s">
        <v>107</v>
      </c>
      <c r="G3" s="64" t="s">
        <v>108</v>
      </c>
    </row>
    <row r="4" spans="1:7" x14ac:dyDescent="0.25">
      <c r="A4" s="25" t="s">
        <v>6</v>
      </c>
      <c r="B4" s="26"/>
      <c r="C4" s="26"/>
      <c r="D4" s="27"/>
      <c r="E4" s="27"/>
      <c r="F4" s="28"/>
      <c r="G4" s="28"/>
    </row>
    <row r="5" spans="1:7" ht="60" x14ac:dyDescent="0.25">
      <c r="A5" s="29">
        <v>1</v>
      </c>
      <c r="B5" s="30" t="s">
        <v>7</v>
      </c>
      <c r="C5" s="38" t="s">
        <v>8</v>
      </c>
      <c r="D5" s="31">
        <v>1</v>
      </c>
      <c r="E5" s="31">
        <v>1</v>
      </c>
      <c r="F5" s="47">
        <f>'Phase 1'!G14</f>
        <v>232687.5</v>
      </c>
      <c r="G5" s="51" t="s">
        <v>109</v>
      </c>
    </row>
    <row r="6" spans="1:7" ht="75.75" customHeight="1" x14ac:dyDescent="0.25">
      <c r="A6" s="29">
        <v>2</v>
      </c>
      <c r="B6" s="30" t="s">
        <v>9</v>
      </c>
      <c r="C6" s="38" t="s">
        <v>10</v>
      </c>
      <c r="D6" s="31">
        <v>1</v>
      </c>
      <c r="E6" s="31">
        <v>2</v>
      </c>
      <c r="F6" s="47">
        <f>'Phase 2'!G14</f>
        <v>625685</v>
      </c>
      <c r="G6" s="51" t="s">
        <v>110</v>
      </c>
    </row>
    <row r="7" spans="1:7" ht="84.75" customHeight="1" x14ac:dyDescent="0.25">
      <c r="A7" s="29">
        <v>3</v>
      </c>
      <c r="B7" s="30" t="s">
        <v>11</v>
      </c>
      <c r="C7" s="38" t="s">
        <v>12</v>
      </c>
      <c r="D7" s="31">
        <v>1</v>
      </c>
      <c r="E7" s="31">
        <v>1</v>
      </c>
      <c r="F7" s="32">
        <f>'Phase 3'!G14</f>
        <v>269832.5</v>
      </c>
      <c r="G7" s="51" t="s">
        <v>111</v>
      </c>
    </row>
    <row r="8" spans="1:7" ht="75" x14ac:dyDescent="0.25">
      <c r="A8" s="29">
        <v>4</v>
      </c>
      <c r="B8" s="29" t="s">
        <v>13</v>
      </c>
      <c r="C8" s="39" t="s">
        <v>14</v>
      </c>
      <c r="D8" s="31">
        <v>1</v>
      </c>
      <c r="E8" s="31">
        <v>8</v>
      </c>
      <c r="F8" s="32">
        <f>'Phase 4'!G14</f>
        <v>1712920</v>
      </c>
      <c r="G8" s="51" t="s">
        <v>112</v>
      </c>
    </row>
    <row r="9" spans="1:7" x14ac:dyDescent="0.25">
      <c r="A9" s="33"/>
      <c r="B9" s="33" t="s">
        <v>15</v>
      </c>
      <c r="C9" s="46"/>
      <c r="D9" s="59"/>
      <c r="E9" s="34"/>
      <c r="F9" s="35">
        <f>SUM(F5:F8)</f>
        <v>2841125</v>
      </c>
      <c r="G9" s="60"/>
    </row>
    <row r="10" spans="1:7" x14ac:dyDescent="0.25">
      <c r="C10" s="6"/>
      <c r="E10" s="61" t="s">
        <v>119</v>
      </c>
      <c r="F10" s="62">
        <f>F9*0.05</f>
        <v>142056.25</v>
      </c>
    </row>
    <row r="11" spans="1:7" x14ac:dyDescent="0.25">
      <c r="C11" s="6"/>
      <c r="E11" s="61" t="s">
        <v>118</v>
      </c>
      <c r="F11" s="62">
        <f>F9+F10</f>
        <v>2983181.25</v>
      </c>
    </row>
    <row r="12" spans="1:7" x14ac:dyDescent="0.25">
      <c r="C12" s="6"/>
    </row>
    <row r="13" spans="1:7" x14ac:dyDescent="0.25">
      <c r="A13" s="37" t="s">
        <v>16</v>
      </c>
      <c r="B13" s="37"/>
      <c r="C13" s="37"/>
    </row>
    <row r="14" spans="1:7" x14ac:dyDescent="0.25">
      <c r="A14" s="52" t="s">
        <v>17</v>
      </c>
      <c r="B14" s="52" t="s">
        <v>113</v>
      </c>
      <c r="C14" s="53" t="s">
        <v>107</v>
      </c>
      <c r="F14"/>
    </row>
    <row r="15" spans="1:7" x14ac:dyDescent="0.25">
      <c r="A15" s="1" t="s">
        <v>18</v>
      </c>
      <c r="B15" s="1" t="s">
        <v>114</v>
      </c>
      <c r="C15" s="54">
        <f>F9*0.15</f>
        <v>426168.75</v>
      </c>
      <c r="F15"/>
    </row>
    <row r="16" spans="1:7" x14ac:dyDescent="0.25">
      <c r="A16" s="1" t="s">
        <v>19</v>
      </c>
      <c r="B16" s="1" t="s">
        <v>115</v>
      </c>
      <c r="C16" s="54">
        <f>C15*1.05</f>
        <v>447477.1875</v>
      </c>
      <c r="F16"/>
    </row>
    <row r="17" spans="1:6" x14ac:dyDescent="0.25">
      <c r="A17" s="1" t="s">
        <v>20</v>
      </c>
      <c r="B17" s="1" t="s">
        <v>116</v>
      </c>
      <c r="C17" s="54">
        <f>C15*1.1</f>
        <v>468785.62500000006</v>
      </c>
      <c r="F17"/>
    </row>
    <row r="18" spans="1:6" x14ac:dyDescent="0.25">
      <c r="A18" s="1" t="s">
        <v>21</v>
      </c>
      <c r="B18" s="1" t="s">
        <v>117</v>
      </c>
      <c r="C18" s="54">
        <f>C15*1.15</f>
        <v>490094.06249999994</v>
      </c>
      <c r="F18"/>
    </row>
    <row r="19" spans="1:6" ht="15.75" x14ac:dyDescent="0.25">
      <c r="A19" s="36"/>
      <c r="B19" s="63" t="s">
        <v>125</v>
      </c>
      <c r="C19" s="55">
        <f>F9+C15+C16+C17+C18</f>
        <v>4673650.625</v>
      </c>
      <c r="F19"/>
    </row>
    <row r="20" spans="1:6" x14ac:dyDescent="0.25">
      <c r="C20" s="56">
        <f>C19*0.05</f>
        <v>233682.53125</v>
      </c>
      <c r="D20" s="40" t="s">
        <v>119</v>
      </c>
    </row>
    <row r="21" spans="1:6" x14ac:dyDescent="0.25">
      <c r="C21" s="5">
        <f>C19+C20</f>
        <v>4907333.15625</v>
      </c>
      <c r="D21" s="40" t="s">
        <v>118</v>
      </c>
    </row>
    <row r="23" spans="1:6" x14ac:dyDescent="0.25">
      <c r="A23" s="57" t="s">
        <v>22</v>
      </c>
      <c r="B23" s="57"/>
      <c r="C23" s="57"/>
      <c r="D23" s="57"/>
      <c r="E23" s="57"/>
      <c r="F23" s="57"/>
    </row>
    <row r="24" spans="1:6" x14ac:dyDescent="0.25">
      <c r="A24" s="1">
        <v>1</v>
      </c>
      <c r="B24" s="1" t="s">
        <v>23</v>
      </c>
      <c r="C24" s="1" t="s">
        <v>24</v>
      </c>
      <c r="D24" s="1" t="s">
        <v>25</v>
      </c>
      <c r="E24" s="1"/>
      <c r="F24" s="58" t="s">
        <v>26</v>
      </c>
    </row>
    <row r="25" spans="1:6" x14ac:dyDescent="0.25">
      <c r="A25" s="1">
        <v>2</v>
      </c>
      <c r="B25" s="1" t="s">
        <v>27</v>
      </c>
      <c r="C25" s="1" t="s">
        <v>28</v>
      </c>
      <c r="D25" s="1" t="s">
        <v>29</v>
      </c>
      <c r="E25" s="1"/>
      <c r="F25" s="58" t="s">
        <v>26</v>
      </c>
    </row>
    <row r="26" spans="1:6" x14ac:dyDescent="0.25">
      <c r="A26" s="1">
        <v>3</v>
      </c>
      <c r="B26" s="1" t="s">
        <v>30</v>
      </c>
      <c r="C26" s="1" t="s">
        <v>31</v>
      </c>
      <c r="D26" s="1" t="s">
        <v>29</v>
      </c>
      <c r="E26" s="1"/>
      <c r="F26" s="58" t="s">
        <v>26</v>
      </c>
    </row>
    <row r="27" spans="1:6" x14ac:dyDescent="0.25">
      <c r="A27" s="1">
        <v>4</v>
      </c>
      <c r="B27" s="1" t="s">
        <v>32</v>
      </c>
      <c r="C27" s="1" t="s">
        <v>33</v>
      </c>
      <c r="D27" s="1" t="s">
        <v>29</v>
      </c>
      <c r="E27" s="1"/>
      <c r="F27" s="58" t="s">
        <v>26</v>
      </c>
    </row>
    <row r="28" spans="1:6" x14ac:dyDescent="0.25">
      <c r="A28" s="1">
        <v>5</v>
      </c>
      <c r="B28" s="1" t="s">
        <v>34</v>
      </c>
      <c r="C28" s="1" t="s">
        <v>35</v>
      </c>
      <c r="D28" s="1" t="s">
        <v>29</v>
      </c>
      <c r="E28" s="1"/>
      <c r="F28" s="58" t="s">
        <v>26</v>
      </c>
    </row>
    <row r="29" spans="1:6" x14ac:dyDescent="0.25">
      <c r="A29" s="1">
        <v>6</v>
      </c>
      <c r="B29" s="1" t="s">
        <v>36</v>
      </c>
      <c r="C29" s="1" t="s">
        <v>37</v>
      </c>
      <c r="D29" s="1" t="s">
        <v>29</v>
      </c>
      <c r="E29" s="1"/>
      <c r="F29" s="58" t="s">
        <v>26</v>
      </c>
    </row>
    <row r="30" spans="1:6" x14ac:dyDescent="0.25">
      <c r="A30" s="1">
        <v>7</v>
      </c>
      <c r="B30" s="1" t="s">
        <v>38</v>
      </c>
      <c r="C30" s="1" t="s">
        <v>39</v>
      </c>
      <c r="D30" s="1" t="s">
        <v>40</v>
      </c>
      <c r="E30" s="1"/>
      <c r="F30" s="58" t="s">
        <v>26</v>
      </c>
    </row>
    <row r="31" spans="1:6" x14ac:dyDescent="0.25">
      <c r="A31" s="1">
        <v>8</v>
      </c>
      <c r="B31" s="1" t="s">
        <v>41</v>
      </c>
      <c r="C31" s="1" t="s">
        <v>42</v>
      </c>
      <c r="D31" s="1" t="s">
        <v>29</v>
      </c>
      <c r="E31" s="1"/>
      <c r="F31" s="58" t="s">
        <v>26</v>
      </c>
    </row>
    <row r="32" spans="1:6" x14ac:dyDescent="0.25">
      <c r="A32" s="1">
        <v>9</v>
      </c>
      <c r="B32" s="1" t="s">
        <v>43</v>
      </c>
      <c r="C32" s="1" t="s">
        <v>44</v>
      </c>
      <c r="D32" s="1" t="s">
        <v>29</v>
      </c>
      <c r="E32" s="1"/>
      <c r="F32" s="58" t="s">
        <v>26</v>
      </c>
    </row>
    <row r="33" spans="1:6" x14ac:dyDescent="0.25">
      <c r="A33" s="1">
        <v>10</v>
      </c>
      <c r="B33" s="1" t="s">
        <v>45</v>
      </c>
      <c r="C33" s="1" t="s">
        <v>46</v>
      </c>
      <c r="D33" s="1" t="s">
        <v>29</v>
      </c>
      <c r="E33" s="1"/>
      <c r="F33" s="58" t="s">
        <v>26</v>
      </c>
    </row>
  </sheetData>
  <mergeCells count="2">
    <mergeCell ref="B1:F1"/>
    <mergeCell ref="A2:G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workbookViewId="0">
      <selection activeCell="N22" sqref="N22"/>
    </sheetView>
  </sheetViews>
  <sheetFormatPr defaultRowHeight="15" x14ac:dyDescent="0.25"/>
  <cols>
    <col min="2" max="2" width="5.140625" customWidth="1"/>
    <col min="3" max="3" width="20.28515625" customWidth="1"/>
    <col min="4" max="4" width="20" customWidth="1"/>
    <col min="5" max="5" width="11.28515625" customWidth="1"/>
  </cols>
  <sheetData>
    <row r="1" spans="2:7" x14ac:dyDescent="0.25">
      <c r="B1" s="24" t="s">
        <v>47</v>
      </c>
    </row>
    <row r="2" spans="2:7" x14ac:dyDescent="0.25">
      <c r="B2" s="11" t="s">
        <v>48</v>
      </c>
      <c r="C2" s="12" t="s">
        <v>49</v>
      </c>
      <c r="D2" s="13" t="s">
        <v>50</v>
      </c>
      <c r="E2" s="14" t="s">
        <v>51</v>
      </c>
    </row>
    <row r="3" spans="2:7" x14ac:dyDescent="0.25">
      <c r="B3" s="15" t="s">
        <v>52</v>
      </c>
      <c r="C3" s="7" t="s">
        <v>53</v>
      </c>
      <c r="D3" s="9" t="s">
        <v>54</v>
      </c>
      <c r="E3" s="16" t="s">
        <v>55</v>
      </c>
    </row>
    <row r="4" spans="2:7" x14ac:dyDescent="0.25">
      <c r="B4" s="15" t="s">
        <v>56</v>
      </c>
      <c r="C4" s="7" t="s">
        <v>57</v>
      </c>
      <c r="D4" s="9" t="s">
        <v>54</v>
      </c>
      <c r="E4" s="16" t="s">
        <v>58</v>
      </c>
    </row>
    <row r="5" spans="2:7" x14ac:dyDescent="0.25">
      <c r="B5" s="15" t="s">
        <v>59</v>
      </c>
      <c r="C5" s="7" t="s">
        <v>60</v>
      </c>
      <c r="D5" s="9" t="s">
        <v>54</v>
      </c>
      <c r="E5" s="16" t="s">
        <v>61</v>
      </c>
    </row>
    <row r="6" spans="2:7" x14ac:dyDescent="0.25">
      <c r="B6" s="17" t="s">
        <v>62</v>
      </c>
      <c r="C6" s="18" t="s">
        <v>63</v>
      </c>
      <c r="D6" s="19" t="s">
        <v>54</v>
      </c>
      <c r="E6" s="21" t="s">
        <v>64</v>
      </c>
    </row>
    <row r="8" spans="2:7" x14ac:dyDescent="0.25">
      <c r="B8" s="22" t="s">
        <v>65</v>
      </c>
    </row>
    <row r="9" spans="2:7" x14ac:dyDescent="0.25">
      <c r="B9" s="23" t="s">
        <v>66</v>
      </c>
    </row>
    <row r="10" spans="2:7" x14ac:dyDescent="0.25">
      <c r="B10" s="23" t="s">
        <v>67</v>
      </c>
    </row>
    <row r="13" spans="2:7" x14ac:dyDescent="0.25">
      <c r="B13" s="24" t="s">
        <v>68</v>
      </c>
    </row>
    <row r="14" spans="2:7" x14ac:dyDescent="0.25">
      <c r="B14" s="11" t="s">
        <v>48</v>
      </c>
      <c r="C14" s="12" t="s">
        <v>49</v>
      </c>
      <c r="D14" s="13" t="s">
        <v>50</v>
      </c>
      <c r="E14" s="13" t="s">
        <v>69</v>
      </c>
      <c r="F14" s="13" t="s">
        <v>70</v>
      </c>
      <c r="G14" s="14" t="s">
        <v>71</v>
      </c>
    </row>
    <row r="15" spans="2:7" ht="16.5" customHeight="1" x14ac:dyDescent="0.25">
      <c r="B15" s="15" t="s">
        <v>72</v>
      </c>
      <c r="C15" s="7" t="s">
        <v>53</v>
      </c>
      <c r="D15" s="9" t="s">
        <v>73</v>
      </c>
      <c r="E15" s="10" t="s">
        <v>74</v>
      </c>
      <c r="F15" s="10" t="s">
        <v>75</v>
      </c>
      <c r="G15" s="16" t="s">
        <v>76</v>
      </c>
    </row>
    <row r="16" spans="2:7" ht="16.5" customHeight="1" x14ac:dyDescent="0.25">
      <c r="B16" s="15" t="s">
        <v>77</v>
      </c>
      <c r="C16" s="7" t="s">
        <v>57</v>
      </c>
      <c r="D16" s="9" t="s">
        <v>73</v>
      </c>
      <c r="E16" s="10" t="s">
        <v>78</v>
      </c>
      <c r="F16" s="10" t="s">
        <v>79</v>
      </c>
      <c r="G16" s="16" t="s">
        <v>80</v>
      </c>
    </row>
    <row r="17" spans="2:7" ht="16.5" customHeight="1" x14ac:dyDescent="0.25">
      <c r="B17" s="15" t="s">
        <v>81</v>
      </c>
      <c r="C17" s="7" t="s">
        <v>60</v>
      </c>
      <c r="D17" s="9" t="s">
        <v>73</v>
      </c>
      <c r="E17" s="10" t="s">
        <v>82</v>
      </c>
      <c r="F17" s="10" t="s">
        <v>83</v>
      </c>
      <c r="G17" s="16" t="s">
        <v>84</v>
      </c>
    </row>
    <row r="18" spans="2:7" ht="16.5" customHeight="1" x14ac:dyDescent="0.25">
      <c r="B18" s="17" t="s">
        <v>85</v>
      </c>
      <c r="C18" s="18" t="s">
        <v>63</v>
      </c>
      <c r="D18" s="19" t="s">
        <v>73</v>
      </c>
      <c r="E18" s="20" t="s">
        <v>86</v>
      </c>
      <c r="F18" s="20" t="s">
        <v>87</v>
      </c>
      <c r="G18" s="21" t="s">
        <v>88</v>
      </c>
    </row>
    <row r="20" spans="2:7" x14ac:dyDescent="0.25">
      <c r="B20" s="22" t="s">
        <v>89</v>
      </c>
    </row>
    <row r="21" spans="2:7" x14ac:dyDescent="0.25">
      <c r="B21" s="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Phase 1</vt:lpstr>
      <vt:lpstr>Phase 2</vt:lpstr>
      <vt:lpstr>Phase 3</vt:lpstr>
      <vt:lpstr>Phase 4</vt:lpstr>
      <vt:lpstr>Year 1 Total</vt:lpstr>
      <vt:lpstr>Pricing Table</vt:lpstr>
      <vt:lpstr>Rate for Variation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Ayoub</dc:creator>
  <cp:lastModifiedBy>Angel Balilo</cp:lastModifiedBy>
  <dcterms:created xsi:type="dcterms:W3CDTF">2015-06-05T18:17:20Z</dcterms:created>
  <dcterms:modified xsi:type="dcterms:W3CDTF">2026-06-04T06:47:40Z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0x01010021C77093EA34894E9FCDDB00CD24A940</vt:lpwstr>
  </property>
  <property fmtid="{D5CDD505-2E9C-101B-9397-08002B2CF9AE}" pid="3" name="MediaServiceImageTags">
    <vt:lpwstr/>
  </property>
</Properties>
</file>