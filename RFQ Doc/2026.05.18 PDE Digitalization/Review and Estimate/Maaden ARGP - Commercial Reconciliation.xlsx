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mary" sheetId="1" state="visible" r:id="rId3"/>
    <sheet name="2. Version Detail" sheetId="2" state="visible" r:id="rId4"/>
    <sheet name="3. Margin Analysis" sheetId="3" state="visible" r:id="rId5"/>
    <sheet name="4. Recommend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<sst xmlns="http://schemas.openxmlformats.org/spreadsheetml/2006/main" count="92" uniqueCount="92">
  <si>
    <t xml:space="preserve">MAADEN ARGP - COMMERCIAL RECONCILIATION (all AED, excl WHT/VAT unless stated)</t>
  </si>
  <si>
    <t xml:space="preserve">Three internal versions exist. This workbook reconciles them. Prepared 2026-07-06.</t>
  </si>
  <si>
    <t xml:space="preserve">Quote Letter (00029, 01 Jun)</t>
  </si>
  <si>
    <t xml:space="preserve">Pricing Calculator v2 (00030)</t>
  </si>
  <si>
    <t xml:space="preserve">Master Roadmap (00030 v1.0, 02 Jul)</t>
  </si>
  <si>
    <t xml:space="preserve">Year 1 build price</t>
  </si>
  <si>
    <t xml:space="preserve">Year 1 manpower plan (FTE-months)</t>
  </si>
  <si>
    <t xml:space="preserve">Resource cost basis at card rates</t>
  </si>
  <si>
    <t xml:space="preserve">Implied margin at card rates</t>
  </si>
  <si>
    <t xml:space="preserve">5-Year TCO (stated)</t>
  </si>
  <si>
    <t xml:space="preserve">Timeline</t>
  </si>
  <si>
    <t xml:space="preserve">52 weeks (12 mo)</t>
  </si>
  <si>
    <t xml:space="preserve">12 months</t>
  </si>
  <si>
    <t xml:space="preserve">40 weeks (10 mo)</t>
  </si>
  <si>
    <t xml:space="preserve">Payment terms</t>
  </si>
  <si>
    <t xml:space="preserve">20/80/10 (sums to 110% - ERROR)</t>
  </si>
  <si>
    <t xml:space="preserve">n/a</t>
  </si>
  <si>
    <t xml:space="preserve">8 tranches = 100%</t>
  </si>
  <si>
    <t xml:space="preserve">KEY FINDINGS</t>
  </si>
  <si>
    <t xml:space="preserve">1. Quote letter = 28.7% of its own pricing calculator, uniformly across all 4 phases. No documented discount rationale.</t>
  </si>
  <si>
    <t xml:space="preserve">2. Calculator Phase 4 omits AI/ML Engineer + Security Lead prices (2 roles x 8 mo x 72,600 = 1,161,600 before uplifts). See sheet 2.</t>
  </si>
  <si>
    <t xml:space="preserve">3. Calculator hardware line (15%) misses one resource row in EVERY phase. See sheet 2 corrected column.</t>
  </si>
  <si>
    <t xml:space="preserve">4. Roadmap price (4.6M inc VAT+WHT) cannot cover its own 77 person-month plan at card rates (cost ~5.9M). See sheet 3.</t>
  </si>
  <si>
    <t xml:space="preserve">5. Only the calculator at 9.9M covers its stated manpower with the stated 70% margin - but that is 3.5x the quoted price.</t>
  </si>
  <si>
    <t xml:space="preserve">6. Quote payment terms sum to 110% (20+80+10). Roadmap has a correct 100% 8-tranche schedule - adopt it.</t>
  </si>
  <si>
    <t xml:space="preserve">7. Terminology: calculator applies 5% "VAT", quote applies 5% "WHT". KSA VAT is 15%; cross-border WHT is 5%. Needs tax review (not tax advice - verify with advisor).</t>
  </si>
  <si>
    <t xml:space="preserve">DECISION REQUIRED: pick ONE price basis, regenerate quote + roadmap from it, and archive the others.</t>
  </si>
  <si>
    <t xml:space="preserve">YEAR 1 PHASE FEES BY VERSION (AED excl WHT)</t>
  </si>
  <si>
    <t xml:space="preserve">Phase</t>
  </si>
  <si>
    <t xml:space="preserve">Quote Letter</t>
  </si>
  <si>
    <t xml:space="preserve">Calculator v2 (as-is)</t>
  </si>
  <si>
    <t xml:space="preserve">Roadmap basis</t>
  </si>
  <si>
    <t xml:space="preserve">Calculator CORRECTED</t>
  </si>
  <si>
    <t xml:space="preserve">Corrected calc inputs</t>
  </si>
  <si>
    <t xml:space="preserve">Resource sum/phase (P4 incl. 2 missing roles)</t>
  </si>
  <si>
    <t xml:space="preserve">Phase 1 (W1-4)</t>
  </si>
  <si>
    <t xml:space="preserve">not phase-split in deck</t>
  </si>
  <si>
    <t xml:space="preserve">Phase 2 (W5-12)</t>
  </si>
  <si>
    <t xml:space="preserve">Phase 3 (W13-16)</t>
  </si>
  <si>
    <t xml:space="preserve">Phase 4 (W17+)</t>
  </si>
  <si>
    <t xml:space="preserve">Year 1 total</t>
  </si>
  <si>
    <t xml:space="preserve">Note: Roadmap 4.6M stated as inc VAT+WHT; others excl.</t>
  </si>
  <si>
    <t xml:space="preserve">Reference totals (used by Summary)</t>
  </si>
  <si>
    <t xml:space="preserve">Roadmap 4.6M back-calculated to excl-tax basis:</t>
  </si>
  <si>
    <t xml:space="preserve">HW+Licences % (per calculator)</t>
  </si>
  <si>
    <t xml:space="preserve">  less 5% WHT then 5% VAT (as XDH applies them)</t>
  </si>
  <si>
    <t xml:space="preserve">Margin % (per calculator)</t>
  </si>
  <si>
    <t xml:space="preserve">  Net-of-tax roadmap build fee</t>
  </si>
  <si>
    <t xml:space="preserve">CALCULATOR ERRORS FOUND</t>
  </si>
  <si>
    <t xml:space="preserve">P4: AI/ML Engineer row - Count 1, Months 8, Price BLANK (formula deleted). Missing 580,800.</t>
  </si>
  <si>
    <t xml:space="preserve">P4: KSA Security Lead row - Count 1, Months 8, Price BLANK. Missing 580,800.</t>
  </si>
  <si>
    <t xml:space="preserve">All phases: Hardware = 15% x (resource sum MINUS one row). P1 evidence: 52,965 = 15% x (425,700 - 72,600).</t>
  </si>
  <si>
    <t xml:space="preserve">Sheet "Year 1 Total" contains an abandoned older rate table (33K/22K/19K roles, all zero) - delete to avoid confusion.</t>
  </si>
  <si>
    <t xml:space="preserve">One calculator sheet still dated 2026.03.05.</t>
  </si>
  <si>
    <t xml:space="preserve">MARGIN AT CARD RATES vs INTERNAL COST SCENARIOS (AED)</t>
  </si>
  <si>
    <t xml:space="preserve">Card rates: PM 99,000/mo; all other roles 72,600/mo (source: calculator Sheet1 rate card, 22 days/mo).</t>
  </si>
  <si>
    <t xml:space="preserve">Quote (33 FTE-mo)</t>
  </si>
  <si>
    <t xml:space="preserve">Calculator (83 FTE-mo)</t>
  </si>
  <si>
    <t xml:space="preserve">Roadmap (77 FTE-mo)</t>
  </si>
  <si>
    <t xml:space="preserve">PM months / other months</t>
  </si>
  <si>
    <t xml:space="preserve">12 / 21</t>
  </si>
  <si>
    <t xml:space="preserve">12 / 71</t>
  </si>
  <si>
    <t xml:space="preserve">12 / 65</t>
  </si>
  <si>
    <t xml:space="preserve">Resource cost at card rates</t>
  </si>
  <si>
    <t xml:space="preserve">+ HW &amp; licences 15%</t>
  </si>
  <si>
    <t xml:space="preserve">Year 1 price (excl tax)</t>
  </si>
  <si>
    <t xml:space="preserve">Surplus / (shortfall) vs cost+HW</t>
  </si>
  <si>
    <t xml:space="preserve">Implied margin % on price</t>
  </si>
  <si>
    <t xml:space="preserve">ASSUMPTIONS (edit blue cells)</t>
  </si>
  <si>
    <t xml:space="preserve">PM rate /mo</t>
  </si>
  <si>
    <t xml:space="preserve">Other role rate /mo</t>
  </si>
  <si>
    <t xml:space="preserve">Internal cost ratio (cost as % of card rate)</t>
  </si>
  <si>
    <t xml:space="preserve">SENSITIVITY: margin if card rates are SELL and true cost = ratio above</t>
  </si>
  <si>
    <t xml:space="preserve">Quote</t>
  </si>
  <si>
    <t xml:space="preserve">Calculator</t>
  </si>
  <si>
    <t xml:space="preserve">Roadmap</t>
  </si>
  <si>
    <t xml:space="preserve">True delivery cost (resources x ratio + HW 15%)</t>
  </si>
  <si>
    <t xml:space="preserve">Margin % at true cost</t>
  </si>
  <si>
    <t xml:space="preserve">READ: even at 60% cost ratio, check whether the quote covers the ROADMAP manpower plan - the quote prices the lean 33 FTE-mo plan only.</t>
  </si>
  <si>
    <t xml:space="preserve">RECOMMENDED PATH TO ONE PRICE</t>
  </si>
  <si>
    <t xml:space="preserve">1</t>
  </si>
  <si>
    <t xml:space="preserve">Fix the calculator: restore P4 AI/ML + Security formulas; fix HW range to full resource sum. Corrected total appears in Sheet 2 col E.</t>
  </si>
  <si>
    <t xml:space="preserve">2</t>
  </si>
  <si>
    <t xml:space="preserve">Decide the manpower truth: roadmap 77 person-months is the delivery plan management approved - price against IT, not the 33 FTE-mo lean view.</t>
  </si>
  <si>
    <t xml:space="preserve">3</t>
  </si>
  <si>
    <t xml:space="preserve">Set margin policy explicitly (calculator says 70%, briefing says 35%, roadmap says 40%). One number, documented.</t>
  </si>
  <si>
    <t xml:space="preserve">4</t>
  </si>
  <si>
    <t xml:space="preserve">Regenerate the quote letter from the corrected calculator. Fix payment terms to the roadmap 8-tranche schedule (sums to 100%).</t>
  </si>
  <si>
    <t xml:space="preserve">5</t>
  </si>
  <si>
    <t xml:space="preserve">Get tax treatment verified (5% WHT vs KSA 15% VAT reverse-charge; UAE entity invoicing KSA client). Flag: not tax advice - confirm with advisor.</t>
  </si>
  <si>
    <t xml:space="preserve">6</t>
  </si>
  <si>
    <t xml:space="preserve">Version control: put the final numbers in ONE file; mark superseded files as ARCHIVED in the filename.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</si>
</sst>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3242A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4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A5" s="1" t="s">
        <v>5</v>
      </c>
      <c r="B5" s="4" t="n">
        <f aca="false">'2. Version Detail'!B10</f>
        <v>2841125</v>
      </c>
      <c r="C5" s="4" t="n">
        <f aca="false">'2. Version Detail'!C10</f>
        <v>9906699</v>
      </c>
      <c r="D5" s="4" t="n">
        <f aca="false">'2. Version Detail'!D10</f>
        <v>4172335.60090703</v>
      </c>
    </row>
    <row r="6" customFormat="false" ht="15" hidden="false" customHeight="false" outlineLevel="0" collapsed="false">
      <c r="A6" s="1" t="s">
        <v>6</v>
      </c>
      <c r="B6" s="5" t="n">
        <v>33</v>
      </c>
      <c r="C6" s="5" t="n">
        <v>83</v>
      </c>
      <c r="D6" s="5" t="n">
        <v>77</v>
      </c>
    </row>
    <row r="7" customFormat="false" ht="15" hidden="false" customHeight="false" outlineLevel="0" collapsed="false">
      <c r="A7" s="1" t="s">
        <v>7</v>
      </c>
      <c r="B7" s="4" t="n">
        <f aca="false">'3. Margin Analysis'!B6</f>
        <v>2712600</v>
      </c>
      <c r="C7" s="4" t="n">
        <f aca="false">'3. Margin Analysis'!C6</f>
        <v>6342600</v>
      </c>
      <c r="D7" s="4" t="n">
        <f aca="false">'3. Margin Analysis'!D6</f>
        <v>5907000</v>
      </c>
    </row>
    <row r="8" customFormat="false" ht="15" hidden="false" customHeight="false" outlineLevel="0" collapsed="false">
      <c r="A8" s="1" t="s">
        <v>8</v>
      </c>
      <c r="B8" s="6" t="n">
        <f aca="false">'3. Margin Analysis'!B11</f>
        <v>-0.0979770337454352</v>
      </c>
      <c r="C8" s="6" t="n">
        <f aca="false">'3. Margin Analysis'!C11</f>
        <v>0.263731541656812</v>
      </c>
      <c r="D8" s="6" t="n">
        <f aca="false">'3. Margin Analysis'!D11</f>
        <v>-0.628116875</v>
      </c>
    </row>
    <row r="9" customFormat="false" ht="15" hidden="false" customHeight="false" outlineLevel="0" collapsed="false">
      <c r="A9" s="1" t="s">
        <v>9</v>
      </c>
      <c r="B9" s="7" t="n">
        <v>4907333</v>
      </c>
      <c r="C9" s="2"/>
      <c r="D9" s="7" t="n">
        <v>8150000</v>
      </c>
    </row>
    <row r="10" customFormat="false" ht="15" hidden="false" customHeight="false" outlineLevel="0" collapsed="false">
      <c r="A10" s="1" t="s">
        <v>10</v>
      </c>
      <c r="B10" s="2" t="s">
        <v>11</v>
      </c>
      <c r="C10" s="2" t="s">
        <v>12</v>
      </c>
      <c r="D10" s="2" t="s">
        <v>13</v>
      </c>
    </row>
    <row r="11" customFormat="false" ht="15" hidden="false" customHeight="false" outlineLevel="0" collapsed="false">
      <c r="A11" s="1" t="s">
        <v>14</v>
      </c>
      <c r="B11" s="2" t="s">
        <v>15</v>
      </c>
      <c r="C11" s="2" t="s">
        <v>16</v>
      </c>
      <c r="D11" s="2" t="s">
        <v>17</v>
      </c>
    </row>
    <row r="13" customFormat="false" ht="15" hidden="false" customHeight="false" outlineLevel="0" collapsed="false">
      <c r="A13" s="1" t="s">
        <v>18</v>
      </c>
    </row>
    <row r="14" customFormat="false" ht="15" hidden="false" customHeight="false" outlineLevel="0" collapsed="false">
      <c r="A14" s="2" t="s">
        <v>19</v>
      </c>
    </row>
    <row r="15" customFormat="false" ht="15" hidden="false" customHeight="false" outlineLevel="0" collapsed="false">
      <c r="A15" s="2" t="s">
        <v>20</v>
      </c>
    </row>
    <row r="16" customFormat="false" ht="15" hidden="false" customHeight="false" outlineLevel="0" collapsed="false">
      <c r="A16" s="2" t="s">
        <v>21</v>
      </c>
    </row>
    <row r="17" customFormat="false" ht="15" hidden="false" customHeight="false" outlineLevel="0" collapsed="false">
      <c r="A17" s="2" t="s">
        <v>22</v>
      </c>
    </row>
    <row r="18" customFormat="false" ht="15" hidden="false" customHeight="false" outlineLevel="0" collapsed="false">
      <c r="A18" s="2" t="s">
        <v>23</v>
      </c>
    </row>
    <row r="19" customFormat="false" ht="15" hidden="false" customHeight="false" outlineLevel="0" collapsed="false">
      <c r="A19" s="2" t="s">
        <v>24</v>
      </c>
    </row>
    <row r="20" customFormat="false" ht="15" hidden="false" customHeight="false" outlineLevel="0" collapsed="false">
      <c r="A20" s="2" t="s">
        <v>25</v>
      </c>
    </row>
    <row r="22" customFormat="false" ht="15" hidden="false" customHeight="false" outlineLevel="0" collapsed="false">
      <c r="A22" s="8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22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1" t="s">
        <v>27</v>
      </c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G3" s="3" t="s">
        <v>33</v>
      </c>
      <c r="H3" s="2" t="s">
        <v>34</v>
      </c>
    </row>
    <row r="4" customFormat="false" ht="15" hidden="false" customHeight="false" outlineLevel="0" collapsed="false">
      <c r="A4" s="1" t="s">
        <v>35</v>
      </c>
      <c r="B4" s="7" t="n">
        <v>232687.5</v>
      </c>
      <c r="C4" s="7" t="n">
        <v>813730.5</v>
      </c>
      <c r="D4" s="2" t="s">
        <v>36</v>
      </c>
      <c r="E4" s="9" t="n">
        <f aca="false">G4*(1+$G$12)*(1+$G$13)</f>
        <v>832243.5</v>
      </c>
      <c r="G4" s="7" t="n">
        <v>425700</v>
      </c>
    </row>
    <row r="5" customFormat="false" ht="15" hidden="false" customHeight="false" outlineLevel="0" collapsed="false">
      <c r="A5" s="1" t="s">
        <v>37</v>
      </c>
      <c r="B5" s="7" t="n">
        <v>625685</v>
      </c>
      <c r="C5" s="7" t="n">
        <v>2195193</v>
      </c>
      <c r="D5" s="2"/>
      <c r="E5" s="9" t="n">
        <f aca="false">G5*(1+$G$12)*(1+$G$13)</f>
        <v>2232219</v>
      </c>
      <c r="G5" s="7" t="n">
        <v>1141800</v>
      </c>
    </row>
    <row r="6" customFormat="false" ht="15" hidden="false" customHeight="false" outlineLevel="0" collapsed="false">
      <c r="A6" s="1" t="s">
        <v>38</v>
      </c>
      <c r="B6" s="7" t="n">
        <v>269832.5</v>
      </c>
      <c r="C6" s="7" t="n">
        <v>955663.5</v>
      </c>
      <c r="D6" s="2"/>
      <c r="E6" s="9" t="n">
        <f aca="false">G6*(1+$G$12)*(1+$G$13)</f>
        <v>974176.5</v>
      </c>
      <c r="G6" s="7" t="n">
        <v>498300</v>
      </c>
    </row>
    <row r="7" customFormat="false" ht="15" hidden="false" customHeight="false" outlineLevel="0" collapsed="false">
      <c r="A7" s="1" t="s">
        <v>39</v>
      </c>
      <c r="B7" s="7" t="n">
        <v>1712920</v>
      </c>
      <c r="C7" s="7" t="n">
        <v>5942112</v>
      </c>
      <c r="D7" s="2"/>
      <c r="E7" s="9" t="n">
        <f aca="false">G7*(1+$G$12)*(1+$G$13)</f>
        <v>8361144</v>
      </c>
      <c r="G7" s="7" t="n">
        <v>4276800</v>
      </c>
    </row>
    <row r="8" customFormat="false" ht="15" hidden="false" customHeight="false" outlineLevel="0" collapsed="false">
      <c r="A8" s="1" t="s">
        <v>40</v>
      </c>
      <c r="B8" s="9" t="n">
        <f aca="false">SUM(B4:B7)</f>
        <v>2841125</v>
      </c>
      <c r="C8" s="9" t="n">
        <f aca="false">SUM(C4:C7)</f>
        <v>9906699</v>
      </c>
      <c r="D8" s="7" t="n">
        <v>4600000</v>
      </c>
      <c r="E8" s="9" t="n">
        <f aca="false">SUM(E4:E7)</f>
        <v>12399783</v>
      </c>
    </row>
    <row r="9" customFormat="false" ht="15" hidden="false" customHeight="false" outlineLevel="0" collapsed="false">
      <c r="A9" s="2" t="s">
        <v>41</v>
      </c>
    </row>
    <row r="10" customFormat="false" ht="15" hidden="false" customHeight="false" outlineLevel="0" collapsed="false">
      <c r="A10" s="1" t="s">
        <v>42</v>
      </c>
      <c r="B10" s="4" t="n">
        <f aca="false">B8</f>
        <v>2841125</v>
      </c>
      <c r="C10" s="4" t="n">
        <f aca="false">C8</f>
        <v>9906699</v>
      </c>
      <c r="D10" s="4" t="n">
        <f aca="false">B14</f>
        <v>4172335.60090703</v>
      </c>
    </row>
    <row r="12" customFormat="false" ht="15" hidden="false" customHeight="false" outlineLevel="0" collapsed="false">
      <c r="A12" s="2" t="s">
        <v>43</v>
      </c>
      <c r="G12" s="10" t="n">
        <v>0.15</v>
      </c>
      <c r="H12" s="2" t="s">
        <v>44</v>
      </c>
    </row>
    <row r="13" customFormat="false" ht="15" hidden="false" customHeight="false" outlineLevel="0" collapsed="false">
      <c r="A13" s="2" t="s">
        <v>45</v>
      </c>
      <c r="G13" s="10" t="n">
        <v>0.7</v>
      </c>
      <c r="H13" s="2" t="s">
        <v>46</v>
      </c>
    </row>
    <row r="14" customFormat="false" ht="15" hidden="false" customHeight="false" outlineLevel="0" collapsed="false">
      <c r="A14" s="1" t="s">
        <v>47</v>
      </c>
      <c r="B14" s="9" t="n">
        <f aca="false">4600000/1.05/1.05</f>
        <v>4172335.60090703</v>
      </c>
    </row>
    <row r="16" customFormat="false" ht="15" hidden="false" customHeight="false" outlineLevel="0" collapsed="false">
      <c r="A16" s="1" t="s">
        <v>48</v>
      </c>
    </row>
    <row r="17" customFormat="false" ht="15" hidden="false" customHeight="false" outlineLevel="0" collapsed="false">
      <c r="A17" s="2" t="s">
        <v>49</v>
      </c>
    </row>
    <row r="18" customFormat="false" ht="15" hidden="false" customHeight="false" outlineLevel="0" collapsed="false">
      <c r="A18" s="2" t="s">
        <v>50</v>
      </c>
    </row>
    <row r="19" customFormat="false" ht="15" hidden="false" customHeight="false" outlineLevel="0" collapsed="false">
      <c r="A19" s="2" t="s">
        <v>51</v>
      </c>
    </row>
    <row r="20" customFormat="false" ht="15" hidden="false" customHeight="false" outlineLevel="0" collapsed="false">
      <c r="A20" s="2" t="s">
        <v>52</v>
      </c>
    </row>
    <row r="21" customFormat="false" ht="15" hidden="false" customHeight="false" outlineLevel="0" collapsed="false">
      <c r="A21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24"/>
  </cols>
  <sheetData>
    <row r="1" customFormat="false" ht="1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3"/>
      <c r="B4" s="3" t="s">
        <v>56</v>
      </c>
      <c r="C4" s="3" t="s">
        <v>57</v>
      </c>
      <c r="D4" s="3" t="s">
        <v>58</v>
      </c>
    </row>
    <row r="5" customFormat="false" ht="15" hidden="false" customHeight="false" outlineLevel="0" collapsed="false">
      <c r="A5" s="1" t="s">
        <v>59</v>
      </c>
      <c r="B5" s="2" t="s">
        <v>60</v>
      </c>
      <c r="C5" s="2" t="s">
        <v>61</v>
      </c>
      <c r="D5" s="2" t="s">
        <v>62</v>
      </c>
    </row>
    <row r="6" customFormat="false" ht="15" hidden="false" customHeight="false" outlineLevel="0" collapsed="false">
      <c r="A6" s="1" t="s">
        <v>63</v>
      </c>
      <c r="B6" s="9" t="n">
        <f aca="false">12*$B$15+21*$B$16</f>
        <v>2712600</v>
      </c>
      <c r="C6" s="9" t="n">
        <f aca="false">12*$B$15+71*$B$16</f>
        <v>6342600</v>
      </c>
      <c r="D6" s="9" t="n">
        <f aca="false">12*$B$15+65*$B$16</f>
        <v>5907000</v>
      </c>
    </row>
    <row r="7" customFormat="false" ht="15" hidden="false" customHeight="false" outlineLevel="0" collapsed="false">
      <c r="A7" s="1" t="s">
        <v>64</v>
      </c>
      <c r="B7" s="9" t="n">
        <f aca="false">B6*1.15</f>
        <v>3119490</v>
      </c>
      <c r="C7" s="9" t="n">
        <f aca="false">C6*1.15</f>
        <v>7293990</v>
      </c>
      <c r="D7" s="9" t="n">
        <f aca="false">D6*1.15</f>
        <v>6793050</v>
      </c>
    </row>
    <row r="8" customFormat="false" ht="15" hidden="false" customHeight="false" outlineLevel="0" collapsed="false">
      <c r="A8" s="1" t="s">
        <v>65</v>
      </c>
      <c r="B8" s="4" t="n">
        <f aca="false">'2. Version Detail'!B8</f>
        <v>2841125</v>
      </c>
      <c r="C8" s="4" t="n">
        <f aca="false">'2. Version Detail'!C8</f>
        <v>9906699</v>
      </c>
      <c r="D8" s="4" t="n">
        <f aca="false">'2. Version Detail'!B14</f>
        <v>4172335.60090703</v>
      </c>
    </row>
    <row r="9" customFormat="false" ht="15" hidden="false" customHeight="false" outlineLevel="0" collapsed="false">
      <c r="A9" s="1" t="s">
        <v>66</v>
      </c>
      <c r="B9" s="9" t="n">
        <f aca="false">B8-B7</f>
        <v>-278365</v>
      </c>
      <c r="C9" s="9" t="n">
        <f aca="false">C8-C7</f>
        <v>2612709</v>
      </c>
      <c r="D9" s="9" t="n">
        <f aca="false">D8-D7</f>
        <v>-2620714.39909297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67</v>
      </c>
      <c r="B11" s="11" t="n">
        <f aca="false">(B8-B7)/B8</f>
        <v>-0.0979770337454352</v>
      </c>
      <c r="C11" s="11" t="n">
        <f aca="false">(C8-C7)/C8</f>
        <v>0.263731541656812</v>
      </c>
      <c r="D11" s="11" t="n">
        <f aca="false">(D8-D7)/D8</f>
        <v>-0.628116875</v>
      </c>
    </row>
    <row r="13" customFormat="false" ht="15" hidden="false" customHeight="false" outlineLevel="0" collapsed="false">
      <c r="A13" s="8" t="s">
        <v>68</v>
      </c>
    </row>
    <row r="15" customFormat="false" ht="15" hidden="false" customHeight="false" outlineLevel="0" collapsed="false">
      <c r="A15" s="2" t="s">
        <v>69</v>
      </c>
      <c r="B15" s="7" t="n">
        <v>99000</v>
      </c>
    </row>
    <row r="16" customFormat="false" ht="15" hidden="false" customHeight="false" outlineLevel="0" collapsed="false">
      <c r="A16" s="2" t="s">
        <v>70</v>
      </c>
      <c r="B16" s="7" t="n">
        <v>72600</v>
      </c>
    </row>
    <row r="17" customFormat="false" ht="15" hidden="false" customHeight="false" outlineLevel="0" collapsed="false">
      <c r="A17" s="2" t="s">
        <v>71</v>
      </c>
      <c r="B17" s="10" t="n">
        <v>0.6</v>
      </c>
    </row>
    <row r="19" customFormat="false" ht="15" hidden="false" customHeight="false" outlineLevel="0" collapsed="false">
      <c r="A19" s="1" t="s">
        <v>72</v>
      </c>
    </row>
    <row r="20" customFormat="false" ht="15" hidden="false" customHeight="false" outlineLevel="0" collapsed="false">
      <c r="A20" s="3"/>
      <c r="B20" s="3" t="s">
        <v>73</v>
      </c>
      <c r="C20" s="3" t="s">
        <v>74</v>
      </c>
      <c r="D20" s="3" t="s">
        <v>75</v>
      </c>
    </row>
    <row r="21" customFormat="false" ht="15" hidden="false" customHeight="false" outlineLevel="0" collapsed="false">
      <c r="A21" s="1" t="s">
        <v>76</v>
      </c>
      <c r="B21" s="9" t="n">
        <f aca="false">B6*$B$17*1.15</f>
        <v>1871694</v>
      </c>
      <c r="C21" s="9" t="n">
        <f aca="false">C6*$B$17*1.15</f>
        <v>4376394</v>
      </c>
      <c r="D21" s="9" t="n">
        <f aca="false">D6*$B$17*1.15</f>
        <v>4075830</v>
      </c>
    </row>
    <row r="22" customFormat="false" ht="15" hidden="false" customHeight="false" outlineLevel="0" collapsed="false">
      <c r="A22" s="1" t="s">
        <v>77</v>
      </c>
      <c r="B22" s="11" t="n">
        <f aca="false">(B8-B21)/B8</f>
        <v>0.341213779752739</v>
      </c>
      <c r="C22" s="11" t="n">
        <f aca="false">(C8-C21)/C8</f>
        <v>0.558238924994087</v>
      </c>
      <c r="D22" s="11" t="n">
        <f aca="false">(D8-D21)/D8</f>
        <v>0.023129875</v>
      </c>
    </row>
    <row r="24" customFormat="false" ht="15" hidden="false" customHeight="false" outlineLevel="0" collapsed="false">
      <c r="A24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79</v>
      </c>
    </row>
    <row r="3" customFormat="false" ht="15" hidden="false" customHeight="false" outlineLevel="0" collapsed="false">
      <c r="A3" s="1" t="s">
        <v>80</v>
      </c>
      <c r="B3" s="2" t="s">
        <v>81</v>
      </c>
    </row>
    <row r="4" customFormat="false" ht="15" hidden="false" customHeight="false" outlineLevel="0" collapsed="false">
      <c r="A4" s="1" t="s">
        <v>82</v>
      </c>
      <c r="B4" s="2" t="s">
        <v>83</v>
      </c>
    </row>
    <row r="5" customFormat="false" ht="15" hidden="false" customHeight="false" outlineLevel="0" collapsed="false">
      <c r="A5" s="1" t="s">
        <v>84</v>
      </c>
      <c r="B5" s="2" t="s">
        <v>85</v>
      </c>
    </row>
    <row r="6" customFormat="false" ht="15" hidden="false" customHeight="false" outlineLevel="0" collapsed="false">
      <c r="A6" s="1" t="s">
        <v>86</v>
      </c>
      <c r="B6" s="2" t="s">
        <v>87</v>
      </c>
    </row>
    <row r="7" customFormat="false" ht="15" hidden="false" customHeight="false" outlineLevel="0" collapsed="false">
      <c r="A7" s="1" t="s">
        <v>88</v>
      </c>
      <c r="B7" s="2" t="s">
        <v>89</v>
      </c>
    </row>
    <row r="8" customFormat="false" ht="15" hidden="false" customHeight="false" outlineLevel="0" collapsed="false">
      <c r="A8" s="1" t="s">
        <v>90</v>
      </c>
      <c r="B8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2026-07-06T11:02:57Z</dcterms:created>
  <dc:creator>openpyxl</dc:creator>
  <dc:description/>
  <dc:language>en-US</dc:language>
  <cp:lastModifiedBy/>
  <dcterms:modified xsi:type="dcterms:W3CDTF">2026-07-06T11:02:57Z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