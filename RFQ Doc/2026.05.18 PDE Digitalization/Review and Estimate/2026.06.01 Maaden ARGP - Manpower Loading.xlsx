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AngelBalilo\Cowork\Pipeline\Maaden\2026.05.18 PDE Digitalization\Review and Estimate - Copy\"/>
    </mc:Choice>
  </mc:AlternateContent>
  <xr:revisionPtr revIDLastSave="0" documentId="13_ncr:1_{0604FC44-2AF1-4A90-8EF0-45C99ECF5E44}" xr6:coauthVersionLast="47" xr6:coauthVersionMax="47" xr10:uidLastSave="{00000000-0000-0000-0000-000000000000}"/>
  <bookViews>
    <workbookView xWindow="28680" yWindow="-120" windowWidth="29040" windowHeight="15720" xr2:uid="{00000000-000D-0000-FFFF-FFFF00000000}"/>
  </bookViews>
  <sheets>
    <sheet name="Manpower Loading"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29" i="1" l="1"/>
  <c r="O39" i="1"/>
  <c r="O49" i="1"/>
  <c r="N51" i="1"/>
  <c r="M51" i="1"/>
  <c r="L51" i="1"/>
  <c r="K51" i="1"/>
  <c r="J51" i="1"/>
  <c r="I51" i="1"/>
  <c r="H51" i="1"/>
  <c r="G51" i="1"/>
  <c r="F51" i="1"/>
  <c r="E51" i="1"/>
  <c r="D51" i="1"/>
  <c r="C51" i="1"/>
  <c r="O18" i="1"/>
  <c r="O51" i="1" l="1"/>
</calcChain>
</file>

<file path=xl/sharedStrings.xml><?xml version="1.0" encoding="utf-8"?>
<sst xmlns="http://schemas.openxmlformats.org/spreadsheetml/2006/main" count="130" uniqueCount="94">
  <si>
    <t>Maaden ARGP Digitalization Platform - Manpower Deployment Schedule (per Phase, all roles)</t>
  </si>
  <si>
    <t>Client:</t>
  </si>
  <si>
    <t>Saudi Arabian Mining Company (Maaden) - ARGP affiliate</t>
  </si>
  <si>
    <t>RFP Ref:</t>
  </si>
  <si>
    <t>ARGP-DIGI-APP-SOW-001 Rev. 00 (02/04/2025)</t>
  </si>
  <si>
    <t>Project Duration:</t>
  </si>
  <si>
    <t>12 months Year 1 (per SOW 3.3.10 Phase 1-4)</t>
  </si>
  <si>
    <t>Prepared By:</t>
  </si>
  <si>
    <t>XD House LLC FZ</t>
  </si>
  <si>
    <t>Date / XDH Ref:</t>
  </si>
  <si>
    <t>Phase / Service</t>
  </si>
  <si>
    <t>Role</t>
  </si>
  <si>
    <t>M1</t>
  </si>
  <si>
    <t>M2</t>
  </si>
  <si>
    <t>M3</t>
  </si>
  <si>
    <t>M4</t>
  </si>
  <si>
    <t>M5</t>
  </si>
  <si>
    <t>M6</t>
  </si>
  <si>
    <t>M7</t>
  </si>
  <si>
    <t>M8</t>
  </si>
  <si>
    <t>M9</t>
  </si>
  <si>
    <t>M10</t>
  </si>
  <si>
    <t>M11</t>
  </si>
  <si>
    <t>M12</t>
  </si>
  <si>
    <t>Phase Total</t>
  </si>
  <si>
    <t>Notes / SOW reference</t>
  </si>
  <si>
    <t>PHASE 1: REQUIREMENT FINALIZATION + SETUP + CORE CONFIG (W 1-4, M1)</t>
  </si>
  <si>
    <t>Programme Mgmt</t>
  </si>
  <si>
    <t>Programme Manager</t>
  </si>
  <si>
    <t>Solutioning</t>
  </si>
  <si>
    <t>Database</t>
  </si>
  <si>
    <t>SOW 3.4.7 mandatory Sr DBA - schema design start + KSA tenancy DB</t>
  </si>
  <si>
    <t>Compliance</t>
  </si>
  <si>
    <t>KSA Compliance / Security Lead</t>
  </si>
  <si>
    <t>SOW 3.4.4 - NCA ECC + PDPL + CCRF baseline, ISMS, AAD/ADFS SSO</t>
  </si>
  <si>
    <t>Domain</t>
  </si>
  <si>
    <t>Requirements + ARGP domain context for solution design</t>
  </si>
  <si>
    <t>Onsite</t>
  </si>
  <si>
    <t>KSA Onsite Account Manager</t>
  </si>
  <si>
    <t>Doc Control</t>
  </si>
  <si>
    <t>Documents Controller</t>
  </si>
  <si>
    <t>SOW 3.4.7 mandatory Document Controller</t>
  </si>
  <si>
    <t>PHASE 1 PEAK FTE</t>
  </si>
  <si>
    <t>PHASE 2: PILOT MODULE DEPLOYMENT ON SELECTED ARGP AREA (W 5-12, M2-M3)</t>
  </si>
  <si>
    <t>SOW 3.4.7 - phase 2 milestone delivery + Maaden steering</t>
  </si>
  <si>
    <t>AI/ML</t>
  </si>
  <si>
    <t>AI / ML Engineer (Lead)</t>
  </si>
  <si>
    <t>SOW 3.3.4 - 4 AI agents for M3 AWP (ingest + ontology + anomaly + KPI)</t>
  </si>
  <si>
    <t>SOW 3.4.7 - production schema, indexes, query optimization</t>
  </si>
  <si>
    <t>Module Specialist</t>
  </si>
  <si>
    <t>Security review of pilot code + pen test prep</t>
  </si>
  <si>
    <t>Continuous onsite + Maaden workshop facilitation</t>
  </si>
  <si>
    <t>SOW 3.4.7 - pilot deliverable doc control</t>
  </si>
  <si>
    <t>PHASE 2 PEAK FTE</t>
  </si>
  <si>
    <t>Phase 2 FTE-mo: 22.0</t>
  </si>
  <si>
    <t>PHASE 3: PILOT VALIDATION + KPI + TRAINING + FEEDBACK (W 13-16, M4)</t>
  </si>
  <si>
    <t>AI / ML Engineer</t>
  </si>
  <si>
    <t>AI agent KPI evaluation vs SOW Section 4 targets</t>
  </si>
  <si>
    <t>SOW 3.4.7 - performance tuning based on pilot load</t>
  </si>
  <si>
    <t>Compliance validation against NCA ECC</t>
  </si>
  <si>
    <t>SOW 3.4.7 - Phase 3 acceptance + KPI report + training pack</t>
  </si>
  <si>
    <t>PHASE 3 PEAK FTE</t>
  </si>
  <si>
    <t>PHASE 4: FULL-SCALE ROLLOUT + M1+M2+M4+M5 BUILD + IP TRANSFER + HYPER-CARE (W 17-52, M5-M12)</t>
  </si>
  <si>
    <t>SOW 3.3.4 - 4 additional AI agents for M1+M2+M4+M5</t>
  </si>
  <si>
    <t>SOW 3.4.7 - production DB tuning + backup + DR</t>
  </si>
  <si>
    <t>SOW 3.4.4 - NCA ECC compliance pass + security evidence + pen test</t>
  </si>
  <si>
    <t>SOW 3.4.7 - Go-Live evidence + Final Acceptance + IP transfer docs</t>
  </si>
  <si>
    <t>PHASE 4 PEAK FTE</t>
  </si>
  <si>
    <t>MONTHLY HUMAN FTE TOTAL (all phases summed)</t>
  </si>
  <si>
    <t>Total Year 1 FTE-months</t>
  </si>
  <si>
    <t>Notes:</t>
  </si>
  <si>
    <t>1. Per-phase view: each phase block lists ALL 13 roles active in that phase with FTE for each month. Same role appears in each phase block they cover (PM, Solution Architects, Sr DBA, BIM/AWP, KSA Security, Onsite AM, Doc Controller all span multiple phases).</t>
  </si>
  <si>
    <t>2. SOW 3.4.7 mandatory roles present in every phase: Programme Manager + Solution Architect (Sr Functional/Technical) + Senior DBA + Documents Controller.</t>
  </si>
  <si>
    <t>3. SOW 3.4.6 onsite presence in Ras Al-Khair (RAK): KSA Onsite Account Manager continuous M1-M12 + BIM/AWP Specialist onsite Phases 2/3/4 + Solution Architects onsite for kick-off/gates/rollout + Training Lead Phase 3.</t>
  </si>
  <si>
    <t>4. Custom Build delivers Maaden ownership of all platform IP at Final Acceptance (W52). Source code + AI models + configurations + documentation transfer.</t>
  </si>
  <si>
    <t>5. Year 2-5 Maintenance Team: 2.0 FTE shared pool covered by SAR 4.2M/yr maintenance fee (5% p.a. escalation). Maaden may terminate maintenance any anniversary.</t>
  </si>
  <si>
    <t>6. Human FTE = senior consultant person-month at full-time equivalent (22 days/mo at 8 hrs/day).</t>
  </si>
  <si>
    <t>7. All subscription costs (AI APIs, KSA hosting, GPU, vector DB, third-party software, hardware) EXCLUDED per Maaden direct procurement.</t>
  </si>
  <si>
    <t>Programme Manager
Training</t>
  </si>
  <si>
    <t>Solution Architect (Platform) &amp; (Integration)</t>
  </si>
  <si>
    <t>Architecture oversight for M1+M2+M4+M5 build, ramps M11-M12
Production integration cutover (SAP + Aveva PI + full EPM/ALM/SIEM)</t>
  </si>
  <si>
    <t>SOW 3.4.7 - full rollout management + Go-Live + IP handover
Tapering: M5-M6 full, M7-M8 half, then handed to Maaden
Continuous KSA presence + Go-Live + IP transfer signing</t>
  </si>
  <si>
    <t>Build
Domain</t>
  </si>
  <si>
    <t>Pilot module remediation backlog
UAT facilitation + CDE workflow validation</t>
  </si>
  <si>
    <t>SOW 3.3.4 M3 - AWP module code (data model + API + frontend)
ARGP context + ISO 19650 alignment + AWP workflow design</t>
  </si>
  <si>
    <t>SOW 3.4.7 Sr Functional/Technical - platform architecture lead
Integration architecture design (light - kicks off in P2)</t>
  </si>
  <si>
    <t>SOW 3.4.7 mandatory PM role
Kick-off + relationship establishment, daily Maaden coordination</t>
  </si>
  <si>
    <t>Database Administrator</t>
  </si>
  <si>
    <t>Code reviews, technical decisions, platform IP design
Integration architecture - Aconex + P6 inbound design
Aconex CDE adapter + Primavera P6 sync + DCMA checks
ADFS / MS EPM connector scaffolding</t>
  </si>
  <si>
    <t>UAT support + defect triage + KPI tuning
Integration UAT fixes</t>
  </si>
  <si>
    <t xml:space="preserve">Programme Manager
Training </t>
  </si>
  <si>
    <t>SOW 3.4.7 - Phase 3 gate management
SOW 3.4.6 train-the-trainer + materials + user adoption
Onsite training coordination + Phase 3 gate</t>
  </si>
  <si>
    <t>Full SAP + Aveva PI integration build + production cutover
Full MS EPM + ALM + SIEM integration build
SOW 3.3.4 - build M1+M2+M4+M5 from scratch + onsite rollout
Onsite ramp-up per affiliate area + BIM/CDE adoption</t>
  </si>
  <si>
    <t>2026.06.01     |     XDH-AE-Q26-05-00029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</si>
</sst>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4"/>
      <color rgb="FF1F4E78"/>
      <name val="Calibri"/>
    </font>
    <font>
      <b/>
      <sz val="11"/>
      <name val="Calibri"/>
    </font>
    <font>
      <b/>
      <sz val="10"/>
      <color rgb="FFFFFFFF"/>
      <name val="Calibri"/>
    </font>
    <font>
      <b/>
      <sz val="11"/>
      <color rgb="FFFFFFFF"/>
      <name val="Calibri"/>
    </font>
    <font>
      <b/>
      <sz val="9"/>
      <color rgb="FFFFFFFF"/>
      <name val="Calibri"/>
    </font>
    <font>
      <b/>
      <i/>
      <sz val="11"/>
      <name val="Calibri"/>
    </font>
  </fonts>
  <fills count="7">
    <fill>
      <patternFill patternType="none"/>
    </fill>
    <fill>
      <patternFill patternType="gray125"/>
    </fill>
    <fill>
      <patternFill patternType="solid">
        <fgColor rgb="FF1F4E78"/>
      </patternFill>
    </fill>
    <fill>
      <patternFill patternType="solid">
        <fgColor rgb="FF305496"/>
      </patternFill>
    </fill>
    <fill>
      <patternFill patternType="solid">
        <fgColor rgb="FF5B9BD5"/>
      </patternFill>
    </fill>
    <fill>
      <patternFill patternType="solid">
        <fgColor rgb="FFFFE699"/>
      </patternFill>
    </fill>
    <fill>
      <patternFill patternType="solid">
        <fgColor rgb="FFFFF2CC"/>
      </patternFill>
    </fill>
  </fills>
  <borders count="2">
    <border>
      <left/>
      <right/>
      <top/>
      <bottom/>
      <diagonal/>
    </border>
    <border>
      <left style="thin">
        <color rgb="FF808080"/>
      </left>
      <right style="thin">
        <color rgb="FF808080"/>
      </right>
      <top style="thin">
        <color rgb="FF808080"/>
      </top>
      <bottom style="thin">
        <color rgb="FF808080"/>
      </bottom>
      <diagonal/>
    </border>
  </borders>
  <cellStyleXfs count="1">
    <xf numFmtId="0" fontId="0" fillId="0" borderId="0"/>
  </cellStyleXfs>
  <cellXfs count="16">
    <xf numFmtId="0" fontId="0" fillId="0" borderId="0" xfId="0"/>
    <xf numFmtId="0" fontId="2" fillId="0" borderId="0" xfId="0" applyFont="1"/>
    <xf numFmtId="0" fontId="3" fillId="2" borderId="1" xfId="0" applyFont="1" applyFill="1" applyBorder="1" applyAlignment="1">
      <alignment horizontal="center" vertical="center" wrapText="1"/>
    </xf>
    <xf numFmtId="0" fontId="0" fillId="0" borderId="1" xfId="0" applyBorder="1" applyAlignment="1">
      <alignment horizontal="left" vertical="center" wrapText="1"/>
    </xf>
    <xf numFmtId="0" fontId="2" fillId="0" borderId="1" xfId="0" applyFont="1" applyBorder="1" applyAlignment="1">
      <alignment horizontal="center" vertical="center" wrapText="1"/>
    </xf>
    <xf numFmtId="0" fontId="5" fillId="4" borderId="1" xfId="0" applyFont="1" applyFill="1" applyBorder="1" applyAlignment="1">
      <alignment horizontal="center" vertical="center" wrapText="1"/>
    </xf>
    <xf numFmtId="0" fontId="0" fillId="0" borderId="1" xfId="0" applyBorder="1" applyAlignment="1">
      <alignment horizontal="center" vertical="center" wrapText="1"/>
    </xf>
    <xf numFmtId="0" fontId="2" fillId="5" borderId="1" xfId="0" applyFont="1" applyFill="1" applyBorder="1"/>
    <xf numFmtId="0" fontId="2" fillId="5" borderId="1" xfId="0" applyFont="1" applyFill="1" applyBorder="1" applyAlignment="1">
      <alignment horizontal="center" vertical="center" wrapText="1"/>
    </xf>
    <xf numFmtId="0" fontId="6" fillId="5" borderId="1" xfId="0" applyFont="1" applyFill="1" applyBorder="1" applyAlignment="1">
      <alignment horizontal="left" vertical="center" wrapText="1"/>
    </xf>
    <xf numFmtId="0" fontId="6" fillId="0" borderId="0" xfId="0" applyFont="1"/>
    <xf numFmtId="0" fontId="4" fillId="3" borderId="0" xfId="0" applyFont="1" applyFill="1" applyAlignment="1">
      <alignment horizontal="left" vertical="center"/>
    </xf>
    <xf numFmtId="0" fontId="0" fillId="0" borderId="0" xfId="0"/>
    <xf numFmtId="0" fontId="0" fillId="6" borderId="0" xfId="0" applyFill="1" applyAlignment="1">
      <alignment horizontal="left" vertical="center" wrapText="1"/>
    </xf>
    <xf numFmtId="0" fontId="2" fillId="5" borderId="1" xfId="0" applyFont="1" applyFill="1" applyBorder="1"/>
    <xf numFmtId="0" fontId="1"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61"/>
  <sheetViews>
    <sheetView tabSelected="1" topLeftCell="A21" zoomScale="85" zoomScaleNormal="85" workbookViewId="0">
      <selection activeCell="R28" sqref="R28"/>
    </sheetView>
  </sheetViews>
  <sheetFormatPr defaultRowHeight="15" x14ac:dyDescent="0.25"/>
  <cols>
    <col min="1" max="1" width="22" customWidth="1"/>
    <col min="2" max="2" width="34.7109375" customWidth="1"/>
    <col min="3" max="14" width="6" customWidth="1"/>
    <col min="15" max="15" width="10" customWidth="1"/>
    <col min="16" max="16" width="86.28515625" customWidth="1"/>
  </cols>
  <sheetData>
    <row r="1" spans="1:16" ht="18.75" x14ac:dyDescent="0.3">
      <c r="A1" s="15" t="s">
        <v>0</v>
      </c>
      <c r="B1" s="12"/>
      <c r="C1" s="12"/>
      <c r="D1" s="12"/>
      <c r="E1" s="12"/>
      <c r="F1" s="12"/>
      <c r="G1" s="12"/>
      <c r="H1" s="12"/>
      <c r="I1" s="12"/>
      <c r="J1" s="12"/>
      <c r="K1" s="12"/>
      <c r="L1" s="12"/>
      <c r="M1" s="12"/>
      <c r="N1" s="12"/>
      <c r="O1" s="12"/>
      <c r="P1" s="12"/>
    </row>
    <row r="3" spans="1:16" x14ac:dyDescent="0.25">
      <c r="A3" s="1" t="s">
        <v>1</v>
      </c>
      <c r="B3" s="12" t="s">
        <v>2</v>
      </c>
      <c r="C3" s="12"/>
      <c r="D3" s="12"/>
      <c r="E3" s="12"/>
      <c r="F3" s="12"/>
      <c r="G3" s="12"/>
      <c r="H3" s="12"/>
      <c r="I3" s="12"/>
      <c r="J3" s="12"/>
      <c r="K3" s="12"/>
      <c r="L3" s="12"/>
      <c r="M3" s="12"/>
      <c r="N3" s="12"/>
      <c r="O3" s="12"/>
      <c r="P3" s="12"/>
    </row>
    <row r="4" spans="1:16" x14ac:dyDescent="0.25">
      <c r="A4" s="1" t="s">
        <v>3</v>
      </c>
      <c r="B4" s="12" t="s">
        <v>4</v>
      </c>
      <c r="C4" s="12"/>
      <c r="D4" s="12"/>
      <c r="E4" s="12"/>
      <c r="F4" s="12"/>
      <c r="G4" s="12"/>
      <c r="H4" s="12"/>
      <c r="I4" s="12"/>
      <c r="J4" s="12"/>
      <c r="K4" s="12"/>
      <c r="L4" s="12"/>
      <c r="M4" s="12"/>
      <c r="N4" s="12"/>
      <c r="O4" s="12"/>
      <c r="P4" s="12"/>
    </row>
    <row r="5" spans="1:16" x14ac:dyDescent="0.25">
      <c r="A5" s="1" t="s">
        <v>5</v>
      </c>
      <c r="B5" s="12" t="s">
        <v>6</v>
      </c>
      <c r="C5" s="12"/>
      <c r="D5" s="12"/>
      <c r="E5" s="12"/>
      <c r="F5" s="12"/>
      <c r="G5" s="12"/>
      <c r="H5" s="12"/>
      <c r="I5" s="12"/>
      <c r="J5" s="12"/>
      <c r="K5" s="12"/>
      <c r="L5" s="12"/>
      <c r="M5" s="12"/>
      <c r="N5" s="12"/>
      <c r="O5" s="12"/>
      <c r="P5" s="12"/>
    </row>
    <row r="6" spans="1:16" x14ac:dyDescent="0.25">
      <c r="A6" s="1" t="s">
        <v>7</v>
      </c>
      <c r="B6" s="12" t="s">
        <v>8</v>
      </c>
      <c r="C6" s="12"/>
      <c r="D6" s="12"/>
      <c r="E6" s="12"/>
      <c r="F6" s="12"/>
      <c r="G6" s="12"/>
      <c r="H6" s="12"/>
      <c r="I6" s="12"/>
      <c r="J6" s="12"/>
      <c r="K6" s="12"/>
      <c r="L6" s="12"/>
      <c r="M6" s="12"/>
      <c r="N6" s="12"/>
      <c r="O6" s="12"/>
      <c r="P6" s="12"/>
    </row>
    <row r="7" spans="1:16" x14ac:dyDescent="0.25">
      <c r="A7" s="1" t="s">
        <v>9</v>
      </c>
      <c r="B7" s="12" t="s">
        <v>93</v>
      </c>
      <c r="C7" s="12"/>
      <c r="D7" s="12"/>
      <c r="E7" s="12"/>
      <c r="F7" s="12"/>
      <c r="G7" s="12"/>
      <c r="H7" s="12"/>
      <c r="I7" s="12"/>
      <c r="J7" s="12"/>
      <c r="K7" s="12"/>
      <c r="L7" s="12"/>
      <c r="M7" s="12"/>
      <c r="N7" s="12"/>
      <c r="O7" s="12"/>
      <c r="P7" s="12"/>
    </row>
    <row r="9" spans="1:16" ht="27.95" customHeight="1" x14ac:dyDescent="0.25">
      <c r="A9" s="2" t="s">
        <v>10</v>
      </c>
      <c r="B9" s="2" t="s">
        <v>11</v>
      </c>
      <c r="C9" s="2" t="s">
        <v>12</v>
      </c>
      <c r="D9" s="2" t="s">
        <v>13</v>
      </c>
      <c r="E9" s="2" t="s">
        <v>14</v>
      </c>
      <c r="F9" s="2" t="s">
        <v>15</v>
      </c>
      <c r="G9" s="2" t="s">
        <v>16</v>
      </c>
      <c r="H9" s="2" t="s">
        <v>17</v>
      </c>
      <c r="I9" s="2" t="s">
        <v>18</v>
      </c>
      <c r="J9" s="2" t="s">
        <v>19</v>
      </c>
      <c r="K9" s="2" t="s">
        <v>20</v>
      </c>
      <c r="L9" s="2" t="s">
        <v>21</v>
      </c>
      <c r="M9" s="2" t="s">
        <v>22</v>
      </c>
      <c r="N9" s="2" t="s">
        <v>23</v>
      </c>
      <c r="O9" s="2" t="s">
        <v>24</v>
      </c>
      <c r="P9" s="2" t="s">
        <v>25</v>
      </c>
    </row>
    <row r="11" spans="1:16" ht="21.95" customHeight="1" x14ac:dyDescent="0.25">
      <c r="A11" s="11" t="s">
        <v>26</v>
      </c>
      <c r="B11" s="12"/>
      <c r="C11" s="12"/>
      <c r="D11" s="12"/>
      <c r="E11" s="12"/>
      <c r="F11" s="12"/>
      <c r="G11" s="12"/>
      <c r="H11" s="12"/>
      <c r="I11" s="12"/>
      <c r="J11" s="12"/>
      <c r="K11" s="12"/>
      <c r="L11" s="12"/>
      <c r="M11" s="12"/>
      <c r="N11" s="12"/>
      <c r="O11" s="12"/>
      <c r="P11" s="12"/>
    </row>
    <row r="12" spans="1:16" ht="30" x14ac:dyDescent="0.25">
      <c r="A12" s="3" t="s">
        <v>27</v>
      </c>
      <c r="B12" s="3" t="s">
        <v>28</v>
      </c>
      <c r="C12" s="5">
        <v>1</v>
      </c>
      <c r="D12" s="6"/>
      <c r="E12" s="6"/>
      <c r="F12" s="6"/>
      <c r="G12" s="6"/>
      <c r="H12" s="6"/>
      <c r="I12" s="6"/>
      <c r="J12" s="6"/>
      <c r="K12" s="6"/>
      <c r="L12" s="6"/>
      <c r="M12" s="6"/>
      <c r="N12" s="6"/>
      <c r="O12" s="4">
        <v>1</v>
      </c>
      <c r="P12" s="3" t="s">
        <v>86</v>
      </c>
    </row>
    <row r="13" spans="1:16" ht="30" x14ac:dyDescent="0.25">
      <c r="A13" s="3" t="s">
        <v>29</v>
      </c>
      <c r="B13" s="3" t="s">
        <v>79</v>
      </c>
      <c r="C13" s="5">
        <v>1</v>
      </c>
      <c r="D13" s="6"/>
      <c r="E13" s="6"/>
      <c r="F13" s="6"/>
      <c r="G13" s="6"/>
      <c r="H13" s="6"/>
      <c r="I13" s="6"/>
      <c r="J13" s="6"/>
      <c r="K13" s="6"/>
      <c r="L13" s="6"/>
      <c r="M13" s="6"/>
      <c r="N13" s="6"/>
      <c r="O13" s="4">
        <v>1</v>
      </c>
      <c r="P13" s="3" t="s">
        <v>85</v>
      </c>
    </row>
    <row r="14" spans="1:16" x14ac:dyDescent="0.25">
      <c r="A14" s="3" t="s">
        <v>30</v>
      </c>
      <c r="B14" s="3" t="s">
        <v>87</v>
      </c>
      <c r="C14" s="5">
        <v>0.5</v>
      </c>
      <c r="D14" s="6"/>
      <c r="E14" s="6"/>
      <c r="F14" s="6"/>
      <c r="G14" s="6"/>
      <c r="H14" s="6"/>
      <c r="I14" s="6"/>
      <c r="J14" s="6"/>
      <c r="K14" s="6"/>
      <c r="L14" s="6"/>
      <c r="M14" s="6"/>
      <c r="N14" s="6"/>
      <c r="O14" s="4">
        <v>0.5</v>
      </c>
      <c r="P14" s="3" t="s">
        <v>31</v>
      </c>
    </row>
    <row r="15" spans="1:16" x14ac:dyDescent="0.25">
      <c r="A15" s="3" t="s">
        <v>32</v>
      </c>
      <c r="B15" s="3" t="s">
        <v>33</v>
      </c>
      <c r="C15" s="5">
        <v>1</v>
      </c>
      <c r="D15" s="6"/>
      <c r="E15" s="6"/>
      <c r="F15" s="6"/>
      <c r="G15" s="6"/>
      <c r="H15" s="6"/>
      <c r="I15" s="6"/>
      <c r="J15" s="6"/>
      <c r="K15" s="6"/>
      <c r="L15" s="6"/>
      <c r="M15" s="6"/>
      <c r="N15" s="6"/>
      <c r="O15" s="4">
        <v>1</v>
      </c>
      <c r="P15" s="3" t="s">
        <v>34</v>
      </c>
    </row>
    <row r="16" spans="1:16" x14ac:dyDescent="0.25">
      <c r="A16" s="3" t="s">
        <v>35</v>
      </c>
      <c r="B16" s="3" t="s">
        <v>49</v>
      </c>
      <c r="C16" s="5">
        <v>1</v>
      </c>
      <c r="D16" s="6"/>
      <c r="E16" s="6"/>
      <c r="F16" s="6"/>
      <c r="G16" s="6"/>
      <c r="H16" s="6"/>
      <c r="I16" s="6"/>
      <c r="J16" s="6"/>
      <c r="K16" s="6"/>
      <c r="L16" s="6"/>
      <c r="M16" s="6"/>
      <c r="N16" s="6"/>
      <c r="O16" s="4">
        <v>1</v>
      </c>
      <c r="P16" s="3" t="s">
        <v>36</v>
      </c>
    </row>
    <row r="17" spans="1:16" x14ac:dyDescent="0.25">
      <c r="A17" s="3" t="s">
        <v>39</v>
      </c>
      <c r="B17" s="3" t="s">
        <v>40</v>
      </c>
      <c r="C17" s="5">
        <v>1</v>
      </c>
      <c r="D17" s="6"/>
      <c r="E17" s="6"/>
      <c r="F17" s="6"/>
      <c r="G17" s="6"/>
      <c r="H17" s="6"/>
      <c r="I17" s="6"/>
      <c r="J17" s="6"/>
      <c r="K17" s="6"/>
      <c r="L17" s="6"/>
      <c r="M17" s="6"/>
      <c r="N17" s="6"/>
      <c r="O17" s="4">
        <v>1</v>
      </c>
      <c r="P17" s="3" t="s">
        <v>41</v>
      </c>
    </row>
    <row r="18" spans="1:16" x14ac:dyDescent="0.25">
      <c r="A18" s="14" t="s">
        <v>42</v>
      </c>
      <c r="B18" s="14"/>
      <c r="C18" s="7"/>
      <c r="D18" s="7"/>
      <c r="E18" s="7"/>
      <c r="F18" s="7"/>
      <c r="G18" s="7"/>
      <c r="H18" s="7"/>
      <c r="I18" s="7"/>
      <c r="J18" s="7"/>
      <c r="K18" s="7"/>
      <c r="L18" s="7"/>
      <c r="M18" s="7"/>
      <c r="N18" s="7"/>
      <c r="O18" s="8">
        <f>SUM(O12:O17)</f>
        <v>5.5</v>
      </c>
      <c r="P18" s="7"/>
    </row>
    <row r="20" spans="1:16" ht="21.95" customHeight="1" x14ac:dyDescent="0.25">
      <c r="A20" s="11" t="s">
        <v>43</v>
      </c>
      <c r="B20" s="12"/>
      <c r="C20" s="12"/>
      <c r="D20" s="12"/>
      <c r="E20" s="12"/>
      <c r="F20" s="12"/>
      <c r="G20" s="12"/>
      <c r="H20" s="12"/>
      <c r="I20" s="12"/>
      <c r="J20" s="12"/>
      <c r="K20" s="12"/>
      <c r="L20" s="12"/>
      <c r="M20" s="12"/>
      <c r="N20" s="12"/>
      <c r="O20" s="12"/>
      <c r="P20" s="12"/>
    </row>
    <row r="21" spans="1:16" x14ac:dyDescent="0.25">
      <c r="A21" s="3" t="s">
        <v>27</v>
      </c>
      <c r="B21" s="3" t="s">
        <v>28</v>
      </c>
      <c r="C21" s="6"/>
      <c r="D21" s="5">
        <v>1</v>
      </c>
      <c r="E21" s="5">
        <v>1</v>
      </c>
      <c r="F21" s="6"/>
      <c r="G21" s="6"/>
      <c r="H21" s="6"/>
      <c r="I21" s="6"/>
      <c r="J21" s="6"/>
      <c r="K21" s="6"/>
      <c r="L21" s="6"/>
      <c r="M21" s="6"/>
      <c r="N21" s="6"/>
      <c r="O21" s="4">
        <v>2</v>
      </c>
      <c r="P21" s="3" t="s">
        <v>44</v>
      </c>
    </row>
    <row r="22" spans="1:16" ht="60" x14ac:dyDescent="0.25">
      <c r="A22" s="3" t="s">
        <v>29</v>
      </c>
      <c r="B22" s="3" t="s">
        <v>79</v>
      </c>
      <c r="C22" s="6"/>
      <c r="D22" s="5">
        <v>1</v>
      </c>
      <c r="E22" s="5">
        <v>1</v>
      </c>
      <c r="F22" s="6"/>
      <c r="G22" s="6"/>
      <c r="H22" s="6"/>
      <c r="I22" s="6"/>
      <c r="J22" s="6"/>
      <c r="K22" s="6"/>
      <c r="L22" s="6"/>
      <c r="M22" s="6"/>
      <c r="N22" s="6"/>
      <c r="O22" s="4">
        <v>2</v>
      </c>
      <c r="P22" s="3" t="s">
        <v>88</v>
      </c>
    </row>
    <row r="23" spans="1:16" x14ac:dyDescent="0.25">
      <c r="A23" s="3" t="s">
        <v>45</v>
      </c>
      <c r="B23" s="3" t="s">
        <v>46</v>
      </c>
      <c r="C23" s="6"/>
      <c r="D23" s="5">
        <v>1</v>
      </c>
      <c r="E23" s="5">
        <v>1</v>
      </c>
      <c r="F23" s="6"/>
      <c r="G23" s="6"/>
      <c r="H23" s="6"/>
      <c r="I23" s="6"/>
      <c r="J23" s="6"/>
      <c r="K23" s="6"/>
      <c r="L23" s="6"/>
      <c r="M23" s="6"/>
      <c r="N23" s="6"/>
      <c r="O23" s="4">
        <v>2</v>
      </c>
      <c r="P23" s="3" t="s">
        <v>47</v>
      </c>
    </row>
    <row r="24" spans="1:16" x14ac:dyDescent="0.25">
      <c r="A24" s="3" t="s">
        <v>30</v>
      </c>
      <c r="B24" s="3" t="s">
        <v>87</v>
      </c>
      <c r="C24" s="6"/>
      <c r="D24" s="5">
        <v>1</v>
      </c>
      <c r="E24" s="5">
        <v>1</v>
      </c>
      <c r="F24" s="6"/>
      <c r="G24" s="6"/>
      <c r="H24" s="6"/>
      <c r="I24" s="6"/>
      <c r="J24" s="6"/>
      <c r="K24" s="6"/>
      <c r="L24" s="6"/>
      <c r="M24" s="6"/>
      <c r="N24" s="6"/>
      <c r="O24" s="4">
        <v>2</v>
      </c>
      <c r="P24" s="3" t="s">
        <v>48</v>
      </c>
    </row>
    <row r="25" spans="1:16" ht="30" x14ac:dyDescent="0.25">
      <c r="A25" s="3" t="s">
        <v>82</v>
      </c>
      <c r="B25" s="3" t="s">
        <v>49</v>
      </c>
      <c r="C25" s="6"/>
      <c r="D25" s="5">
        <v>1</v>
      </c>
      <c r="E25" s="5">
        <v>1</v>
      </c>
      <c r="F25" s="6"/>
      <c r="G25" s="6"/>
      <c r="H25" s="6"/>
      <c r="I25" s="6"/>
      <c r="J25" s="6"/>
      <c r="K25" s="6"/>
      <c r="L25" s="6"/>
      <c r="M25" s="6"/>
      <c r="N25" s="6"/>
      <c r="O25" s="4">
        <v>2</v>
      </c>
      <c r="P25" s="3" t="s">
        <v>84</v>
      </c>
    </row>
    <row r="26" spans="1:16" x14ac:dyDescent="0.25">
      <c r="A26" s="3" t="s">
        <v>32</v>
      </c>
      <c r="B26" s="3" t="s">
        <v>33</v>
      </c>
      <c r="C26" s="6"/>
      <c r="D26" s="5">
        <v>0.5</v>
      </c>
      <c r="E26" s="5">
        <v>0.5</v>
      </c>
      <c r="F26" s="6"/>
      <c r="G26" s="6"/>
      <c r="H26" s="6"/>
      <c r="I26" s="6"/>
      <c r="J26" s="6"/>
      <c r="K26" s="6"/>
      <c r="L26" s="6"/>
      <c r="M26" s="6"/>
      <c r="N26" s="6"/>
      <c r="O26" s="4">
        <v>1</v>
      </c>
      <c r="P26" s="3" t="s">
        <v>50</v>
      </c>
    </row>
    <row r="27" spans="1:16" x14ac:dyDescent="0.25">
      <c r="A27" s="3" t="s">
        <v>37</v>
      </c>
      <c r="B27" s="3" t="s">
        <v>38</v>
      </c>
      <c r="C27" s="6"/>
      <c r="D27" s="5">
        <v>1</v>
      </c>
      <c r="E27" s="5">
        <v>1</v>
      </c>
      <c r="F27" s="6"/>
      <c r="G27" s="6"/>
      <c r="H27" s="6"/>
      <c r="I27" s="6"/>
      <c r="J27" s="6"/>
      <c r="K27" s="6"/>
      <c r="L27" s="6"/>
      <c r="M27" s="6"/>
      <c r="N27" s="6"/>
      <c r="O27" s="4">
        <v>2</v>
      </c>
      <c r="P27" s="3" t="s">
        <v>51</v>
      </c>
    </row>
    <row r="28" spans="1:16" x14ac:dyDescent="0.25">
      <c r="A28" s="3" t="s">
        <v>39</v>
      </c>
      <c r="B28" s="3" t="s">
        <v>40</v>
      </c>
      <c r="C28" s="6"/>
      <c r="D28" s="5">
        <v>1</v>
      </c>
      <c r="E28" s="5">
        <v>1</v>
      </c>
      <c r="F28" s="6"/>
      <c r="G28" s="6"/>
      <c r="H28" s="6"/>
      <c r="I28" s="6"/>
      <c r="J28" s="6"/>
      <c r="K28" s="6"/>
      <c r="L28" s="6"/>
      <c r="M28" s="6"/>
      <c r="N28" s="6"/>
      <c r="O28" s="4">
        <v>2</v>
      </c>
      <c r="P28" s="3" t="s">
        <v>52</v>
      </c>
    </row>
    <row r="29" spans="1:16" x14ac:dyDescent="0.25">
      <c r="A29" s="14" t="s">
        <v>53</v>
      </c>
      <c r="B29" s="14"/>
      <c r="C29" s="7"/>
      <c r="D29" s="7"/>
      <c r="E29" s="7"/>
      <c r="F29" s="7"/>
      <c r="G29" s="7"/>
      <c r="H29" s="7"/>
      <c r="I29" s="7"/>
      <c r="J29" s="7"/>
      <c r="K29" s="7"/>
      <c r="L29" s="7"/>
      <c r="M29" s="7"/>
      <c r="N29" s="7"/>
      <c r="O29" s="8">
        <f>SUM(O21:O28)</f>
        <v>15</v>
      </c>
      <c r="P29" s="7" t="s">
        <v>54</v>
      </c>
    </row>
    <row r="31" spans="1:16" ht="21.95" customHeight="1" x14ac:dyDescent="0.25">
      <c r="A31" s="11" t="s">
        <v>55</v>
      </c>
      <c r="B31" s="12"/>
      <c r="C31" s="12"/>
      <c r="D31" s="12"/>
      <c r="E31" s="12"/>
      <c r="F31" s="12"/>
      <c r="G31" s="12"/>
      <c r="H31" s="12"/>
      <c r="I31" s="12"/>
      <c r="J31" s="12"/>
      <c r="K31" s="12"/>
      <c r="L31" s="12"/>
      <c r="M31" s="12"/>
      <c r="N31" s="12"/>
      <c r="O31" s="12"/>
      <c r="P31" s="12"/>
    </row>
    <row r="32" spans="1:16" ht="45" x14ac:dyDescent="0.25">
      <c r="A32" s="3" t="s">
        <v>27</v>
      </c>
      <c r="B32" s="3" t="s">
        <v>90</v>
      </c>
      <c r="C32" s="6"/>
      <c r="D32" s="6"/>
      <c r="E32" s="6"/>
      <c r="F32" s="5">
        <v>1</v>
      </c>
      <c r="G32" s="6"/>
      <c r="H32" s="6"/>
      <c r="I32" s="6"/>
      <c r="J32" s="6"/>
      <c r="K32" s="6"/>
      <c r="L32" s="6"/>
      <c r="M32" s="6"/>
      <c r="N32" s="6"/>
      <c r="O32" s="4">
        <v>1</v>
      </c>
      <c r="P32" s="3" t="s">
        <v>91</v>
      </c>
    </row>
    <row r="33" spans="1:16" ht="30" x14ac:dyDescent="0.25">
      <c r="A33" s="3" t="s">
        <v>29</v>
      </c>
      <c r="B33" s="3" t="s">
        <v>79</v>
      </c>
      <c r="C33" s="6"/>
      <c r="D33" s="6"/>
      <c r="E33" s="6"/>
      <c r="F33" s="5">
        <v>1</v>
      </c>
      <c r="G33" s="6"/>
      <c r="H33" s="6"/>
      <c r="I33" s="6"/>
      <c r="J33" s="6"/>
      <c r="K33" s="6"/>
      <c r="L33" s="6"/>
      <c r="M33" s="6"/>
      <c r="N33" s="6"/>
      <c r="O33" s="4">
        <v>1</v>
      </c>
      <c r="P33" s="3" t="s">
        <v>89</v>
      </c>
    </row>
    <row r="34" spans="1:16" x14ac:dyDescent="0.25">
      <c r="A34" s="3" t="s">
        <v>45</v>
      </c>
      <c r="B34" s="3" t="s">
        <v>56</v>
      </c>
      <c r="C34" s="6"/>
      <c r="D34" s="6"/>
      <c r="E34" s="6"/>
      <c r="F34" s="5">
        <v>1</v>
      </c>
      <c r="G34" s="6"/>
      <c r="H34" s="6"/>
      <c r="I34" s="6"/>
      <c r="J34" s="6"/>
      <c r="K34" s="6"/>
      <c r="L34" s="6"/>
      <c r="M34" s="6"/>
      <c r="N34" s="6"/>
      <c r="O34" s="4">
        <v>1</v>
      </c>
      <c r="P34" s="3" t="s">
        <v>57</v>
      </c>
    </row>
    <row r="35" spans="1:16" x14ac:dyDescent="0.25">
      <c r="A35" s="3" t="s">
        <v>30</v>
      </c>
      <c r="B35" s="3" t="s">
        <v>87</v>
      </c>
      <c r="C35" s="6"/>
      <c r="D35" s="6"/>
      <c r="E35" s="6"/>
      <c r="F35" s="5">
        <v>1</v>
      </c>
      <c r="G35" s="6"/>
      <c r="H35" s="6"/>
      <c r="I35" s="6"/>
      <c r="J35" s="6"/>
      <c r="K35" s="6"/>
      <c r="L35" s="6"/>
      <c r="M35" s="6"/>
      <c r="N35" s="6"/>
      <c r="O35" s="4">
        <v>1</v>
      </c>
      <c r="P35" s="3" t="s">
        <v>58</v>
      </c>
    </row>
    <row r="36" spans="1:16" ht="30" x14ac:dyDescent="0.25">
      <c r="A36" s="3" t="s">
        <v>82</v>
      </c>
      <c r="B36" s="3" t="s">
        <v>49</v>
      </c>
      <c r="C36" s="6"/>
      <c r="D36" s="6"/>
      <c r="E36" s="6"/>
      <c r="F36" s="5">
        <v>1</v>
      </c>
      <c r="G36" s="6"/>
      <c r="H36" s="6"/>
      <c r="I36" s="6"/>
      <c r="J36" s="6"/>
      <c r="K36" s="6"/>
      <c r="L36" s="6"/>
      <c r="M36" s="6"/>
      <c r="N36" s="6"/>
      <c r="O36" s="4">
        <v>1</v>
      </c>
      <c r="P36" s="3" t="s">
        <v>83</v>
      </c>
    </row>
    <row r="37" spans="1:16" x14ac:dyDescent="0.25">
      <c r="A37" s="3" t="s">
        <v>32</v>
      </c>
      <c r="B37" s="3" t="s">
        <v>33</v>
      </c>
      <c r="C37" s="6"/>
      <c r="D37" s="6"/>
      <c r="E37" s="6"/>
      <c r="F37" s="5">
        <v>0.5</v>
      </c>
      <c r="G37" s="6"/>
      <c r="H37" s="6"/>
      <c r="I37" s="6"/>
      <c r="J37" s="6"/>
      <c r="K37" s="6"/>
      <c r="L37" s="6"/>
      <c r="M37" s="6"/>
      <c r="N37" s="6"/>
      <c r="O37" s="4">
        <v>0.5</v>
      </c>
      <c r="P37" s="3" t="s">
        <v>59</v>
      </c>
    </row>
    <row r="38" spans="1:16" x14ac:dyDescent="0.25">
      <c r="A38" s="3" t="s">
        <v>39</v>
      </c>
      <c r="B38" s="3" t="s">
        <v>40</v>
      </c>
      <c r="C38" s="6"/>
      <c r="D38" s="6"/>
      <c r="E38" s="6"/>
      <c r="F38" s="5">
        <v>1</v>
      </c>
      <c r="G38" s="6"/>
      <c r="H38" s="6"/>
      <c r="I38" s="6"/>
      <c r="J38" s="6"/>
      <c r="K38" s="6"/>
      <c r="L38" s="6"/>
      <c r="M38" s="6"/>
      <c r="N38" s="6"/>
      <c r="O38" s="4">
        <v>1</v>
      </c>
      <c r="P38" s="3" t="s">
        <v>60</v>
      </c>
    </row>
    <row r="39" spans="1:16" x14ac:dyDescent="0.25">
      <c r="A39" s="14" t="s">
        <v>61</v>
      </c>
      <c r="B39" s="14"/>
      <c r="C39" s="7"/>
      <c r="D39" s="7"/>
      <c r="E39" s="7"/>
      <c r="F39" s="7"/>
      <c r="G39" s="7"/>
      <c r="H39" s="7"/>
      <c r="I39" s="7"/>
      <c r="J39" s="7"/>
      <c r="K39" s="7"/>
      <c r="L39" s="7"/>
      <c r="M39" s="7"/>
      <c r="N39" s="7"/>
      <c r="O39" s="8">
        <f>SUM(O32:O38)</f>
        <v>6.5</v>
      </c>
      <c r="P39" s="7"/>
    </row>
    <row r="41" spans="1:16" ht="21.95" customHeight="1" x14ac:dyDescent="0.25">
      <c r="A41" s="11" t="s">
        <v>62</v>
      </c>
      <c r="B41" s="12"/>
      <c r="C41" s="12"/>
      <c r="D41" s="12"/>
      <c r="E41" s="12"/>
      <c r="F41" s="12"/>
      <c r="G41" s="12"/>
      <c r="H41" s="12"/>
      <c r="I41" s="12"/>
      <c r="J41" s="12"/>
      <c r="K41" s="12"/>
      <c r="L41" s="12"/>
      <c r="M41" s="12"/>
      <c r="N41" s="12"/>
      <c r="O41" s="12"/>
      <c r="P41" s="12"/>
    </row>
    <row r="42" spans="1:16" ht="45" x14ac:dyDescent="0.25">
      <c r="A42" s="3" t="s">
        <v>27</v>
      </c>
      <c r="B42" s="3" t="s">
        <v>78</v>
      </c>
      <c r="C42" s="6"/>
      <c r="D42" s="6"/>
      <c r="E42" s="6"/>
      <c r="F42" s="6"/>
      <c r="G42" s="5">
        <v>1</v>
      </c>
      <c r="H42" s="5">
        <v>1</v>
      </c>
      <c r="I42" s="5">
        <v>1</v>
      </c>
      <c r="J42" s="5">
        <v>1</v>
      </c>
      <c r="K42" s="5">
        <v>1</v>
      </c>
      <c r="L42" s="5">
        <v>1</v>
      </c>
      <c r="M42" s="5">
        <v>1</v>
      </c>
      <c r="N42" s="5">
        <v>1</v>
      </c>
      <c r="O42" s="4">
        <v>8</v>
      </c>
      <c r="P42" s="3" t="s">
        <v>81</v>
      </c>
    </row>
    <row r="43" spans="1:16" ht="30" x14ac:dyDescent="0.25">
      <c r="A43" s="3" t="s">
        <v>29</v>
      </c>
      <c r="B43" s="3" t="s">
        <v>79</v>
      </c>
      <c r="C43" s="6"/>
      <c r="D43" s="6"/>
      <c r="E43" s="6"/>
      <c r="F43" s="6"/>
      <c r="G43" s="5">
        <v>1</v>
      </c>
      <c r="H43" s="5">
        <v>1</v>
      </c>
      <c r="I43" s="5">
        <v>1</v>
      </c>
      <c r="J43" s="5">
        <v>1</v>
      </c>
      <c r="K43" s="5">
        <v>1</v>
      </c>
      <c r="L43" s="5">
        <v>1</v>
      </c>
      <c r="M43" s="5">
        <v>0.5</v>
      </c>
      <c r="N43" s="5">
        <v>0.5</v>
      </c>
      <c r="O43" s="4">
        <v>7</v>
      </c>
      <c r="P43" s="3" t="s">
        <v>80</v>
      </c>
    </row>
    <row r="44" spans="1:16" x14ac:dyDescent="0.25">
      <c r="A44" s="3" t="s">
        <v>45</v>
      </c>
      <c r="B44" s="3" t="s">
        <v>56</v>
      </c>
      <c r="C44" s="6"/>
      <c r="D44" s="6"/>
      <c r="E44" s="6"/>
      <c r="F44" s="6"/>
      <c r="G44" s="5">
        <v>1</v>
      </c>
      <c r="H44" s="5">
        <v>1</v>
      </c>
      <c r="I44" s="5">
        <v>1</v>
      </c>
      <c r="J44" s="5">
        <v>1</v>
      </c>
      <c r="K44" s="5">
        <v>1</v>
      </c>
      <c r="L44" s="5">
        <v>1</v>
      </c>
      <c r="M44" s="5">
        <v>1</v>
      </c>
      <c r="N44" s="5">
        <v>1</v>
      </c>
      <c r="O44" s="4">
        <v>8</v>
      </c>
      <c r="P44" s="3" t="s">
        <v>63</v>
      </c>
    </row>
    <row r="45" spans="1:16" x14ac:dyDescent="0.25">
      <c r="A45" s="3" t="s">
        <v>30</v>
      </c>
      <c r="B45" s="3" t="s">
        <v>87</v>
      </c>
      <c r="C45" s="6"/>
      <c r="D45" s="6"/>
      <c r="E45" s="6"/>
      <c r="F45" s="6"/>
      <c r="G45" s="5">
        <v>1</v>
      </c>
      <c r="H45" s="5">
        <v>1</v>
      </c>
      <c r="I45" s="5">
        <v>1</v>
      </c>
      <c r="J45" s="5">
        <v>1</v>
      </c>
      <c r="K45" s="5">
        <v>1</v>
      </c>
      <c r="L45" s="5">
        <v>1</v>
      </c>
      <c r="M45" s="5">
        <v>1</v>
      </c>
      <c r="N45" s="5">
        <v>1</v>
      </c>
      <c r="O45" s="4">
        <v>8</v>
      </c>
      <c r="P45" s="3" t="s">
        <v>64</v>
      </c>
    </row>
    <row r="46" spans="1:16" ht="60" x14ac:dyDescent="0.25">
      <c r="A46" s="3" t="s">
        <v>82</v>
      </c>
      <c r="B46" s="3" t="s">
        <v>49</v>
      </c>
      <c r="C46" s="6"/>
      <c r="D46" s="6"/>
      <c r="E46" s="6"/>
      <c r="F46" s="6"/>
      <c r="G46" s="5">
        <v>1</v>
      </c>
      <c r="H46" s="5">
        <v>1</v>
      </c>
      <c r="I46" s="5">
        <v>1</v>
      </c>
      <c r="J46" s="5">
        <v>1</v>
      </c>
      <c r="K46" s="5">
        <v>1</v>
      </c>
      <c r="L46" s="5">
        <v>1</v>
      </c>
      <c r="M46" s="5">
        <v>1</v>
      </c>
      <c r="N46" s="5">
        <v>1</v>
      </c>
      <c r="O46" s="4">
        <v>8</v>
      </c>
      <c r="P46" s="3" t="s">
        <v>92</v>
      </c>
    </row>
    <row r="47" spans="1:16" x14ac:dyDescent="0.25">
      <c r="A47" s="3" t="s">
        <v>32</v>
      </c>
      <c r="B47" s="3" t="s">
        <v>33</v>
      </c>
      <c r="C47" s="6"/>
      <c r="D47" s="6"/>
      <c r="E47" s="6"/>
      <c r="F47" s="6"/>
      <c r="G47" s="5">
        <v>1</v>
      </c>
      <c r="H47" s="5">
        <v>1</v>
      </c>
      <c r="I47" s="5">
        <v>1</v>
      </c>
      <c r="J47" s="5">
        <v>1</v>
      </c>
      <c r="K47" s="5">
        <v>1</v>
      </c>
      <c r="L47" s="5">
        <v>1</v>
      </c>
      <c r="M47" s="5">
        <v>1</v>
      </c>
      <c r="N47" s="5">
        <v>1</v>
      </c>
      <c r="O47" s="4">
        <v>8</v>
      </c>
      <c r="P47" s="3" t="s">
        <v>65</v>
      </c>
    </row>
    <row r="48" spans="1:16" x14ac:dyDescent="0.25">
      <c r="A48" s="3" t="s">
        <v>39</v>
      </c>
      <c r="B48" s="3" t="s">
        <v>40</v>
      </c>
      <c r="C48" s="6"/>
      <c r="D48" s="6"/>
      <c r="E48" s="6"/>
      <c r="F48" s="6"/>
      <c r="G48" s="5">
        <v>1</v>
      </c>
      <c r="H48" s="5">
        <v>1</v>
      </c>
      <c r="I48" s="5">
        <v>1</v>
      </c>
      <c r="J48" s="5">
        <v>1</v>
      </c>
      <c r="K48" s="5">
        <v>1</v>
      </c>
      <c r="L48" s="5">
        <v>1</v>
      </c>
      <c r="M48" s="5">
        <v>1</v>
      </c>
      <c r="N48" s="5">
        <v>1</v>
      </c>
      <c r="O48" s="4">
        <v>8</v>
      </c>
      <c r="P48" s="3" t="s">
        <v>66</v>
      </c>
    </row>
    <row r="49" spans="1:16" x14ac:dyDescent="0.25">
      <c r="A49" s="14" t="s">
        <v>67</v>
      </c>
      <c r="B49" s="14"/>
      <c r="C49" s="7"/>
      <c r="D49" s="7"/>
      <c r="E49" s="7"/>
      <c r="F49" s="7"/>
      <c r="G49" s="7"/>
      <c r="H49" s="7"/>
      <c r="I49" s="7"/>
      <c r="J49" s="7"/>
      <c r="K49" s="7"/>
      <c r="L49" s="7"/>
      <c r="M49" s="7"/>
      <c r="N49" s="7"/>
      <c r="O49" s="8">
        <f>SUM(O42:O48)</f>
        <v>55</v>
      </c>
      <c r="P49" s="7"/>
    </row>
    <row r="51" spans="1:16" ht="21.95" customHeight="1" x14ac:dyDescent="0.25">
      <c r="A51" s="14" t="s">
        <v>68</v>
      </c>
      <c r="B51" s="14"/>
      <c r="C51" s="8">
        <f>SUM(C12:C48)</f>
        <v>5.5</v>
      </c>
      <c r="D51" s="8">
        <f t="shared" ref="D51:N51" si="0">SUM(D12:D48)</f>
        <v>7.5</v>
      </c>
      <c r="E51" s="8">
        <f t="shared" si="0"/>
        <v>7.5</v>
      </c>
      <c r="F51" s="8">
        <f t="shared" si="0"/>
        <v>6.5</v>
      </c>
      <c r="G51" s="8">
        <f t="shared" si="0"/>
        <v>7</v>
      </c>
      <c r="H51" s="8">
        <f t="shared" si="0"/>
        <v>7</v>
      </c>
      <c r="I51" s="8">
        <f t="shared" si="0"/>
        <v>7</v>
      </c>
      <c r="J51" s="8">
        <f t="shared" si="0"/>
        <v>7</v>
      </c>
      <c r="K51" s="8">
        <f t="shared" si="0"/>
        <v>7</v>
      </c>
      <c r="L51" s="8">
        <f t="shared" si="0"/>
        <v>7</v>
      </c>
      <c r="M51" s="8">
        <f t="shared" si="0"/>
        <v>6.5</v>
      </c>
      <c r="N51" s="8">
        <f t="shared" si="0"/>
        <v>6.5</v>
      </c>
      <c r="O51" s="8">
        <f>SUM(C51:N51)</f>
        <v>82</v>
      </c>
      <c r="P51" s="9" t="s">
        <v>69</v>
      </c>
    </row>
    <row r="54" spans="1:16" x14ac:dyDescent="0.25">
      <c r="A54" s="10" t="s">
        <v>70</v>
      </c>
    </row>
    <row r="55" spans="1:16" ht="42" customHeight="1" x14ac:dyDescent="0.25">
      <c r="A55" s="13" t="s">
        <v>71</v>
      </c>
      <c r="B55" s="12"/>
      <c r="C55" s="12"/>
      <c r="D55" s="12"/>
      <c r="E55" s="12"/>
      <c r="F55" s="12"/>
      <c r="G55" s="12"/>
      <c r="H55" s="12"/>
      <c r="I55" s="12"/>
      <c r="J55" s="12"/>
      <c r="K55" s="12"/>
      <c r="L55" s="12"/>
      <c r="M55" s="12"/>
      <c r="N55" s="12"/>
      <c r="O55" s="12"/>
      <c r="P55" s="12"/>
    </row>
    <row r="56" spans="1:16" ht="42" customHeight="1" x14ac:dyDescent="0.25">
      <c r="A56" s="13" t="s">
        <v>72</v>
      </c>
      <c r="B56" s="12"/>
      <c r="C56" s="12"/>
      <c r="D56" s="12"/>
      <c r="E56" s="12"/>
      <c r="F56" s="12"/>
      <c r="G56" s="12"/>
      <c r="H56" s="12"/>
      <c r="I56" s="12"/>
      <c r="J56" s="12"/>
      <c r="K56" s="12"/>
      <c r="L56" s="12"/>
      <c r="M56" s="12"/>
      <c r="N56" s="12"/>
      <c r="O56" s="12"/>
      <c r="P56" s="12"/>
    </row>
    <row r="57" spans="1:16" ht="42" customHeight="1" x14ac:dyDescent="0.25">
      <c r="A57" s="13" t="s">
        <v>73</v>
      </c>
      <c r="B57" s="12"/>
      <c r="C57" s="12"/>
      <c r="D57" s="12"/>
      <c r="E57" s="12"/>
      <c r="F57" s="12"/>
      <c r="G57" s="12"/>
      <c r="H57" s="12"/>
      <c r="I57" s="12"/>
      <c r="J57" s="12"/>
      <c r="K57" s="12"/>
      <c r="L57" s="12"/>
      <c r="M57" s="12"/>
      <c r="N57" s="12"/>
      <c r="O57" s="12"/>
      <c r="P57" s="12"/>
    </row>
    <row r="58" spans="1:16" ht="42" customHeight="1" x14ac:dyDescent="0.25">
      <c r="A58" s="13" t="s">
        <v>74</v>
      </c>
      <c r="B58" s="12"/>
      <c r="C58" s="12"/>
      <c r="D58" s="12"/>
      <c r="E58" s="12"/>
      <c r="F58" s="12"/>
      <c r="G58" s="12"/>
      <c r="H58" s="12"/>
      <c r="I58" s="12"/>
      <c r="J58" s="12"/>
      <c r="K58" s="12"/>
      <c r="L58" s="12"/>
      <c r="M58" s="12"/>
      <c r="N58" s="12"/>
      <c r="O58" s="12"/>
      <c r="P58" s="12"/>
    </row>
    <row r="59" spans="1:16" ht="42" customHeight="1" x14ac:dyDescent="0.25">
      <c r="A59" s="13" t="s">
        <v>75</v>
      </c>
      <c r="B59" s="12"/>
      <c r="C59" s="12"/>
      <c r="D59" s="12"/>
      <c r="E59" s="12"/>
      <c r="F59" s="12"/>
      <c r="G59" s="12"/>
      <c r="H59" s="12"/>
      <c r="I59" s="12"/>
      <c r="J59" s="12"/>
      <c r="K59" s="12"/>
      <c r="L59" s="12"/>
      <c r="M59" s="12"/>
      <c r="N59" s="12"/>
      <c r="O59" s="12"/>
      <c r="P59" s="12"/>
    </row>
    <row r="60" spans="1:16" ht="42" customHeight="1" x14ac:dyDescent="0.25">
      <c r="A60" s="13" t="s">
        <v>76</v>
      </c>
      <c r="B60" s="12"/>
      <c r="C60" s="12"/>
      <c r="D60" s="12"/>
      <c r="E60" s="12"/>
      <c r="F60" s="12"/>
      <c r="G60" s="12"/>
      <c r="H60" s="12"/>
      <c r="I60" s="12"/>
      <c r="J60" s="12"/>
      <c r="K60" s="12"/>
      <c r="L60" s="12"/>
      <c r="M60" s="12"/>
      <c r="N60" s="12"/>
      <c r="O60" s="12"/>
      <c r="P60" s="12"/>
    </row>
    <row r="61" spans="1:16" ht="42" customHeight="1" x14ac:dyDescent="0.25">
      <c r="A61" s="13" t="s">
        <v>77</v>
      </c>
      <c r="B61" s="12"/>
      <c r="C61" s="12"/>
      <c r="D61" s="12"/>
      <c r="E61" s="12"/>
      <c r="F61" s="12"/>
      <c r="G61" s="12"/>
      <c r="H61" s="12"/>
      <c r="I61" s="12"/>
      <c r="J61" s="12"/>
      <c r="K61" s="12"/>
      <c r="L61" s="12"/>
      <c r="M61" s="12"/>
      <c r="N61" s="12"/>
      <c r="O61" s="12"/>
      <c r="P61" s="12"/>
    </row>
  </sheetData>
  <mergeCells count="22">
    <mergeCell ref="A1:P1"/>
    <mergeCell ref="B5:P5"/>
    <mergeCell ref="A61:P61"/>
    <mergeCell ref="A58:P58"/>
    <mergeCell ref="A29:B29"/>
    <mergeCell ref="A18:B18"/>
    <mergeCell ref="A20:P20"/>
    <mergeCell ref="A41:P41"/>
    <mergeCell ref="A59:P59"/>
    <mergeCell ref="A55:P55"/>
    <mergeCell ref="B3:P3"/>
    <mergeCell ref="A39:B39"/>
    <mergeCell ref="A57:P57"/>
    <mergeCell ref="A56:P56"/>
    <mergeCell ref="A51:B51"/>
    <mergeCell ref="A11:P11"/>
    <mergeCell ref="B6:P6"/>
    <mergeCell ref="A60:P60"/>
    <mergeCell ref="B4:P4"/>
    <mergeCell ref="A49:B49"/>
    <mergeCell ref="B7:P7"/>
    <mergeCell ref="A31:P3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Manpower Loading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Angel Balilo</cp:lastModifiedBy>
  <dcterms:created xsi:type="dcterms:W3CDTF">2026-06-04T05:59:01Z</dcterms:created>
  <dcterms:modified xsi:type="dcterms:W3CDTF">2026-06-04T06:47:43Z</dcterms:modified>
</cp:coreProperties>
</file>